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aa34d29b6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39e6a7eb2334a1a"/>
    <x:sheet xmlns:r="http://schemas.openxmlformats.org/officeDocument/2006/relationships" name="Route review" sheetId="2" r:id="Ref66da19f56c4ebb"/>
    <x:sheet xmlns:r="http://schemas.openxmlformats.org/officeDocument/2006/relationships" name="Monthly source" sheetId="3" r:id="R1989294fb8c742c8"/>
    <x:sheet xmlns:r="http://schemas.openxmlformats.org/officeDocument/2006/relationships" name="Route source" sheetId="4" r:id="Rf0939cd778aa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mmm"/>
    <x:numFmt numFmtId="203" formatCode="0.0%"/>
  </x:numFmts>
  <x:fonts count="8">
    <x:font>
      <x:sz val="11"/>
      <x:name val="Carlito"/>
    </x:font>
    <x:font>
      <x:sz val="11"/>
      <x:color rgb="FF102A43"/>
      <x:name val="Arial"/>
    </x:font>
    <x:font>
      <x:b/>
      <x:sz val="19"/>
      <x:color rgb="FFFFFFFF"/>
      <x:name val="Arial"/>
    </x:font>
    <x:font>
      <x:b/>
      <x:sz val="11"/>
      <x:color rgb="FF0000FF"/>
      <x:name val="Arial"/>
    </x:font>
    <x:font>
      <x:b/>
      <x:sz val="11"/>
      <x:color rgb="FF536B7E"/>
      <x:name val="Arial"/>
    </x:font>
    <x:font>
      <x:b/>
      <x:sz val="27"/>
      <x:color rgb="FF007F82"/>
      <x:name val="Arial"/>
    </x:font>
    <x:font>
      <x:b/>
      <x:sz val="11"/>
      <x:color rgb="FFFFFFFF"/>
      <x:name val="Arial"/>
    </x:font>
    <x:font>
      <x:sz val="10"/>
      <x:color rgb="FF536B7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2CC"/>
      </x:patternFill>
    </x:fill>
    <x:fill>
      <x:patternFill patternType="solid">
        <x:fgColor rgb="FFEAF2F7"/>
      </x:patternFill>
    </x:fill>
    <x:fill>
      <x:patternFill patternType="solid">
        <x:fgColor rgb="FF007F82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4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4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C3B1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6489037fb413d" /><Relationship Type="http://schemas.openxmlformats.org/officeDocument/2006/relationships/theme" Target="/xl/theme/theme1.xml" Id="Rc9e5ef7458fc49f9" /><Relationship Type="http://schemas.openxmlformats.org/officeDocument/2006/relationships/sharedStrings" Target="/xl/sharedStrings.xml" Id="R485b833338164a85" /><Relationship Type="http://schemas.openxmlformats.org/officeDocument/2006/relationships/worksheet" Target="/xl/worksheets/sheet1.xml" Id="Rd39e6a7eb2334a1a" /><Relationship Type="http://schemas.openxmlformats.org/officeDocument/2006/relationships/worksheet" Target="/xl/worksheets/sheet2.xml" Id="Ref66da19f56c4ebb" /><Relationship Type="http://schemas.openxmlformats.org/officeDocument/2006/relationships/worksheet" Target="/xl/worksheets/sheet3.xml" Id="R1989294fb8c742c8" /><Relationship Type="http://schemas.openxmlformats.org/officeDocument/2006/relationships/worksheet" Target="/xl/worksheets/sheet4.xml" Id="Rf0939cd778aa4f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1665bc4b7e4de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Punctuality through the year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Arrival OTP</c:v>
          </c:tx>
          <c:marker>
            <c:symbol val="none"/>
          </c:marke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'Dashboard'!$J$16:$J$27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Departure OTP</c:v>
          </c:tx>
          <c:marker>
            <c:symbol val="none"/>
          </c:marker>
          <c:cat>
            <c:strRef>
              <c:f>'Dashboard'!$A$16:$A$27</c:f>
              <c:strCache>
                <c:ptCount val="0"/>
              </c:strCache>
            </c:strRef>
          </c:cat>
          <c:val>
            <c:numRef>
              <c:f>'Dashboard'!$K$16:$K$27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28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1665bc4b7e4de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Review" displayName="RouteReview" ref="A6:H134" headerRowCount="1" totalsRowCount="0" totalsRowShown="0">
  <x:tableColumns count="8">
    <x:tableColumn id="1" name="Directional route"/>
    <x:tableColumn id="2" name="Scheduled"/>
    <x:tableColumn id="3" name="Cancellations"/>
    <x:tableColumn id="4" name="Cancel %"/>
    <x:tableColumn id="5" name="Arrival OTP"/>
    <x:tableColumn id="6" name="Delayed arrivals"/>
    <x:tableColumn id="7" name="Months reported"/>
    <x:tableColumn id="8" name="Volume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ourceTable" displayName="MonthlysourceTable" ref="A1:I37" headerRowCount="1" totalsRowCount="0" totalsRowShown="0">
  <x:tableColumns count="9">
    <x:tableColumn id="1" name="Year"/>
    <x:tableColumn id="2" name="Month no."/>
    <x:tableColumn id="3" name="Month"/>
    <x:tableColumn id="4" name="Scheduled"/>
    <x:tableColumn id="5" name="Flown"/>
    <x:tableColumn id="6" name="Cancelled"/>
    <x:tableColumn id="7" name="On-time arrivals"/>
    <x:tableColumn id="8" name="On-time departures"/>
    <x:tableColumn id="9" name="Delayed arriva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sourceTable" displayName="RoutesourceTable" ref="A1:H365" headerRowCount="1" totalsRowCount="0" totalsRowShown="0">
  <x:tableColumns count="8">
    <x:tableColumn id="1" name="Year"/>
    <x:tableColumn id="2" name="Directional route"/>
    <x:tableColumn id="3" name="Months reported"/>
    <x:tableColumn id="4" name="Scheduled"/>
    <x:tableColumn id="5" name="Flown"/>
    <x:tableColumn id="6" name="Cancelled"/>
    <x:tableColumn id="7" name="On-time arrivals"/>
    <x:tableColumn id="8" name="Delayed arriva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51f2633f2844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f4432b4fa047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e8388ebe954e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69ef732e44b05" /></Relationships>
</file>

<file path=xl/worksheets/sheet1.xml><?xml version="1.0" encoding="utf-8"?>
<x:worksheet xmlns:x="http://schemas.openxmlformats.org/spreadsheetml/2006/main">
  <x:sheetPr>
    <x:tabColor rgb="FF007F82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6" customHeight="1">
      <x:c r="A1" s="3" t="str">
        <x:v>AUSTRALIAN AIRLINE RELIABILITY</x:v>
      </x:c>
      <x:c r="B1" s="3" t="str">
        <x:v>AUSTRALIAN AIRLINE RELIABILITY</x:v>
      </x:c>
      <x:c r="C1" s="3" t="str">
        <x:v>AUSTRALIAN AIRLINE RELIABILITY</x:v>
      </x:c>
      <x:c r="D1" s="3" t="str">
        <x:v>AUSTRALIAN AIRLINE RELIABILITY</x:v>
      </x:c>
      <x:c r="E1" s="3" t="str">
        <x:v>AUSTRALIAN AIRLINE RELIABILITY</x:v>
      </x:c>
      <x:c r="F1" s="3" t="str">
        <x:v>AUSTRALIAN AIRLINE RELIABILITY</x:v>
      </x:c>
      <x:c r="G1" s="3" t="str">
        <x:v>AUSTRALIAN AIRLINE RELIABILITY</x:v>
      </x:c>
      <x:c r="H1" s="3" t="str">
        <x:v>AUSTRALIAN AIRLINE RELIABILITY</x:v>
      </x:c>
      <x:c r="I1" s="3" t="str">
        <x:v>AUSTRALIAN AIRLINE RELIABILITY</x:v>
      </x:c>
      <x:c r="J1" s="3" t="str">
        <x:v>AUSTRALIAN AIRLINE RELIABILITY</x:v>
      </x:c>
      <x:c r="K1" s="3" t="str">
        <x:v>AUSTRALIAN AIRLINE RELIABILITY</x:v>
      </x:c>
      <x:c r="L1" s="3" t="str">
        <x:v>AUSTRALIAN AIRLINE RELIABILITY</x:v>
      </x:c>
      <x:c r="M1" s="3" t="str">
        <x:v>AUSTRALIAN AIRLINE RELIABILITY</x:v>
      </x:c>
      <x:c r="N1" s="3" t="str">
        <x:v>AUSTRALIAN AIRLINE RELIABILITY</x:v>
      </x:c>
    </x:row>
    <x:row r="2" ht="36" customHeight="1">
      <x:c r="A2" s="3" t="str">
        <x:v>AUSTRALIAN AIRLINE RELIABILITY</x:v>
      </x:c>
      <x:c r="B2" s="3" t="str">
        <x:v>AUSTRALIAN AIRLINE RELIABILITY</x:v>
      </x:c>
      <x:c r="C2" s="3" t="str">
        <x:v>AUSTRALIAN AIRLINE RELIABILITY</x:v>
      </x:c>
      <x:c r="D2" s="3" t="str">
        <x:v>AUSTRALIAN AIRLINE RELIABILITY</x:v>
      </x:c>
      <x:c r="E2" s="3" t="str">
        <x:v>AUSTRALIAN AIRLINE RELIABILITY</x:v>
      </x:c>
      <x:c r="F2" s="3" t="str">
        <x:v>AUSTRALIAN AIRLINE RELIABILITY</x:v>
      </x:c>
      <x:c r="G2" s="3" t="str">
        <x:v>AUSTRALIAN AIRLINE RELIABILITY</x:v>
      </x:c>
      <x:c r="H2" s="3" t="str">
        <x:v>AUSTRALIAN AIRLINE RELIABILITY</x:v>
      </x:c>
      <x:c r="I2" s="3" t="str">
        <x:v>AUSTRALIAN AIRLINE RELIABILITY</x:v>
      </x:c>
      <x:c r="J2" s="3" t="str">
        <x:v>AUSTRALIAN AIRLINE RELIABILITY</x:v>
      </x:c>
      <x:c r="K2" s="3" t="str">
        <x:v>AUSTRALIAN AIRLINE RELIABILITY</x:v>
      </x:c>
      <x:c r="L2" s="3" t="str">
        <x:v>AUSTRALIAN AIRLINE RELIABILITY</x:v>
      </x:c>
      <x:c r="M2" s="3" t="str">
        <x:v>AUSTRALIAN AIRLINE RELIABILITY</x:v>
      </x:c>
      <x:c r="N2" s="3" t="str">
        <x:v>AUSTRALIAN AIRLINE RELIABILITY</x:v>
      </x:c>
    </x:row>
    <x:row r="3" ht="23" customHeight="1">
      <x:c r="A3" s="1" t="str">
        <x:v>BITRE reporting routes | 2023–2025 | Varchasv Gupta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3" customHeight="1">
      <x:c r="A5" s="1" t="str">
        <x:v>Select year</x:v>
      </x:c>
      <x:c r="B5" s="5" t="n">
        <x:v>2025</x:v>
      </x:c>
      <x:c r="C5" s="1"/>
      <x:c r="D5" s="1" t="str">
        <x:v>Change the yellow cell; charts and Route review update.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3" customHeight="1">
      <x:c r="A7" s="6" t="str">
        <x:v>Scheduled sectors</x:v>
      </x:c>
      <x:c r="B7" s="6" t="str">
        <x:v>Scheduled sectors</x:v>
      </x:c>
      <x:c r="C7" s="6" t="str">
        <x:v>Scheduled sectors</x:v>
      </x:c>
      <x:c r="D7" s="6" t="str">
        <x:v>Cancellations</x:v>
      </x:c>
      <x:c r="E7" s="6" t="str">
        <x:v>Cancellations</x:v>
      </x:c>
      <x:c r="F7" s="6" t="str">
        <x:v>Cancellations</x:v>
      </x:c>
      <x:c r="G7" s="6" t="str">
        <x:v>Cancellation rate</x:v>
      </x:c>
      <x:c r="H7" s="6" t="str">
        <x:v>Cancellation rate</x:v>
      </x:c>
      <x:c r="I7" s="6" t="str">
        <x:v>Cancellation rate</x:v>
      </x:c>
      <x:c r="J7" s="6" t="str">
        <x:v>Cancellation rate</x:v>
      </x:c>
      <x:c r="K7" s="6" t="str">
        <x:v>On-time arrivals</x:v>
      </x:c>
      <x:c r="L7" s="6" t="str">
        <x:v>On-time arrivals</x:v>
      </x:c>
      <x:c r="M7" s="6" t="str">
        <x:v>On-time arrivals</x:v>
      </x:c>
      <x:c r="N7" s="6" t="str">
        <x:v>On-time arrivals</x:v>
      </x:c>
    </x:row>
    <x:row r="8" ht="23" customHeight="1">
      <x:c r="A8" s="9" t="n">
        <x:f>SUM(D16:D27)</x:f>
        <x:v>418106</x:v>
      </x:c>
      <x:c r="B8" s="9"/>
      <x:c r="C8" s="9"/>
      <x:c r="D8" s="9" t="n">
        <x:f>SUM(F16:F27)</x:f>
        <x:v>10565</x:v>
      </x:c>
      <x:c r="E8" s="9"/>
      <x:c r="F8" s="9"/>
      <x:c r="G8" s="12" t="n">
        <x:f>IFERROR(SUM(F16:F27)/SUM(D16:D27),0)</x:f>
        <x:v>0.02526871176208904</x:v>
      </x:c>
      <x:c r="H8" s="12"/>
      <x:c r="I8" s="12"/>
      <x:c r="J8" s="12"/>
      <x:c r="K8" s="12" t="n">
        <x:f>IFERROR(SUM(G16:G27)/SUM(E16:E27),0)</x:f>
        <x:v>0.7582599051383787</x:v>
      </x:c>
      <x:c r="L8" s="12"/>
      <x:c r="M8" s="12"/>
      <x:c r="N8" s="12"/>
    </x:row>
    <x:row r="9" ht="23" customHeight="1">
      <x:c r="A9" s="9"/>
      <x:c r="B9" s="9"/>
      <x:c r="C9" s="9"/>
      <x:c r="D9" s="9"/>
      <x:c r="E9" s="9"/>
      <x:c r="F9" s="9"/>
      <x:c r="G9" s="12"/>
      <x:c r="H9" s="12"/>
      <x:c r="I9" s="12"/>
      <x:c r="J9" s="12"/>
      <x:c r="K9" s="12"/>
      <x:c r="L9" s="12"/>
      <x:c r="M9" s="12"/>
      <x:c r="N9" s="12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3" customHeight="1">
      <x:c r="A11" s="1" t="str">
        <x:v>Scope: selected directional routes, not the entire Australian domestic network.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3" customHeight="1">
      <x:c r="A12" s="1" t="str">
        <x:v>Rates use flight counts: cancelled / scheduled; on-time / flown. No passenger or cause data.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3" customHeight="1">
      <x:c r="A14" s="14" t="str">
        <x:v>MONTHLY PERFORMANCE  /  weighted by sectors</x:v>
      </x:c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</x:row>
    <x:row r="15" ht="38" customHeight="1">
      <x:c r="A15" s="15" t="str">
        <x:v>Month</x:v>
      </x:c>
      <x:c r="B15" s="15" t="str">
        <x:v>Year</x:v>
      </x:c>
      <x:c r="C15" s="15" t="str">
        <x:v>No.</x:v>
      </x:c>
      <x:c r="D15" s="15" t="str">
        <x:v>Scheduled</x:v>
      </x:c>
      <x:c r="E15" s="15" t="str">
        <x:v>Flown</x:v>
      </x:c>
      <x:c r="F15" s="15" t="str">
        <x:v>Cancelled</x:v>
      </x:c>
      <x:c r="G15" s="15" t="str">
        <x:v>On-time arrivals</x:v>
      </x:c>
      <x:c r="H15" s="15" t="str">
        <x:v>Delayed arrivals</x:v>
      </x:c>
      <x:c r="I15" s="15" t="str">
        <x:v>Cancel %</x:v>
      </x:c>
      <x:c r="J15" s="15" t="str">
        <x:v>Arrival OTP</x:v>
      </x:c>
      <x:c r="K15" s="15" t="str">
        <x:v>Departure OTP</x:v>
      </x:c>
      <x:c r="L15" s="1"/>
      <x:c r="M15" s="1"/>
      <x:c r="N15" s="1"/>
    </x:row>
    <x:row r="16" ht="23" customHeight="1">
      <x:c r="A16" s="16" t="str">
        <x:v>Jan</x:v>
      </x:c>
      <x:c r="B16" s="1" t="n">
        <x:f>$B$5</x:f>
        <x:v>2025</x:v>
      </x:c>
      <x:c r="C16" s="1" t="n">
        <x:v>1</x:v>
      </x:c>
      <x:c r="D16" s="7" t="n">
        <x:f>SUMIFS('Monthly source'!$D$2:$D$37,'Monthly source'!$A$2:$A$37,$B$5,'Monthly source'!$B$2:$B$37,C16)</x:f>
        <x:v>33922</x:v>
      </x:c>
      <x:c r="E16" s="7" t="n">
        <x:f>SUMIFS('Monthly source'!$E$2:$E$37,'Monthly source'!$A$2:$A$37,$B$5,'Monthly source'!$B$2:$B$37,C16)</x:f>
        <x:v>33258</x:v>
      </x:c>
      <x:c r="F16" s="7" t="n">
        <x:f>SUMIFS('Monthly source'!$F$2:$F$37,'Monthly source'!$A$2:$A$37,$B$5,'Monthly source'!$B$2:$B$37,C16)</x:f>
        <x:v>664</x:v>
      </x:c>
      <x:c r="G16" s="7" t="n">
        <x:f>SUMIFS('Monthly source'!$G$2:$G$37,'Monthly source'!$A$2:$A$37,$B$5,'Monthly source'!$B$2:$B$37,C16)</x:f>
        <x:v>24417</x:v>
      </x:c>
      <x:c r="H16" s="7" t="n">
        <x:f>SUMIFS('Monthly source'!$I$2:$I$37,'Monthly source'!$A$2:$A$37,$B$5,'Monthly source'!$B$2:$B$37,C16)</x:f>
        <x:v>8841</x:v>
      </x:c>
      <x:c r="I16" s="17" t="n">
        <x:f>IFERROR(F16/D16,0)</x:f>
        <x:v>0.01957431755203113</x:v>
      </x:c>
      <x:c r="J16" s="17" t="n">
        <x:f>IFERROR(G16/E16,0)</x:f>
        <x:v>0.7341692224427205</x:v>
      </x:c>
      <x:c r="K16" s="17" t="n">
        <x:f>IFERROR(SUMIFS('Monthly source'!$H$2:$H$37,'Monthly source'!$A$2:$A$37,$B$5,'Monthly source'!$B$2:$B$37,C16)/E16,0)</x:f>
        <x:v>0.7314029707138132</x:v>
      </x:c>
      <x:c r="L16" s="1"/>
      <x:c r="M16" s="1"/>
      <x:c r="N16" s="1"/>
    </x:row>
    <x:row r="17" ht="23" customHeight="1">
      <x:c r="A17" s="16" t="str">
        <x:v>Feb</x:v>
      </x:c>
      <x:c r="B17" s="1" t="n">
        <x:f>$B$5</x:f>
        <x:v>2025</x:v>
      </x:c>
      <x:c r="C17" s="1" t="n">
        <x:v>2</x:v>
      </x:c>
      <x:c r="D17" s="7" t="n">
        <x:f>SUMIFS('Monthly source'!$D$2:$D$37,'Monthly source'!$A$2:$A$37,$B$5,'Monthly source'!$B$2:$B$37,C17)</x:f>
        <x:v>30721</x:v>
      </x:c>
      <x:c r="E17" s="7" t="n">
        <x:f>SUMIFS('Monthly source'!$E$2:$E$37,'Monthly source'!$A$2:$A$37,$B$5,'Monthly source'!$B$2:$B$37,C17)</x:f>
        <x:v>29968</x:v>
      </x:c>
      <x:c r="F17" s="7" t="n">
        <x:f>SUMIFS('Monthly source'!$F$2:$F$37,'Monthly source'!$A$2:$A$37,$B$5,'Monthly source'!$B$2:$B$37,C17)</x:f>
        <x:v>753</x:v>
      </x:c>
      <x:c r="G17" s="7" t="n">
        <x:f>SUMIFS('Monthly source'!$G$2:$G$37,'Monthly source'!$A$2:$A$37,$B$5,'Monthly source'!$B$2:$B$37,C17)</x:f>
        <x:v>23964</x:v>
      </x:c>
      <x:c r="H17" s="7" t="n">
        <x:f>SUMIFS('Monthly source'!$I$2:$I$37,'Monthly source'!$A$2:$A$37,$B$5,'Monthly source'!$B$2:$B$37,C17)</x:f>
        <x:v>6004</x:v>
      </x:c>
      <x:c r="I17" s="17" t="n">
        <x:f>IFERROR(F17/D17,0)</x:f>
        <x:v>0.024510920868461312</x:v>
      </x:c>
      <x:c r="J17" s="17" t="n">
        <x:f>IFERROR(G17/E17,0)</x:f>
        <x:v>0.7996529631607048</x:v>
      </x:c>
      <x:c r="K17" s="17" t="n">
        <x:f>IFERROR(SUMIFS('Monthly source'!$H$2:$H$37,'Monthly source'!$A$2:$A$37,$B$5,'Monthly source'!$B$2:$B$37,C17)/E17,0)</x:f>
        <x:v>0.7989188467698879</x:v>
      </x:c>
      <x:c r="L17" s="1"/>
      <x:c r="M17" s="1"/>
      <x:c r="N17" s="1"/>
    </x:row>
    <x:row r="18" ht="23" customHeight="1">
      <x:c r="A18" s="16" t="str">
        <x:v>Mar</x:v>
      </x:c>
      <x:c r="B18" s="1" t="n">
        <x:f>$B$5</x:f>
        <x:v>2025</x:v>
      </x:c>
      <x:c r="C18" s="1" t="n">
        <x:v>3</x:v>
      </x:c>
      <x:c r="D18" s="7" t="n">
        <x:f>SUMIFS('Monthly source'!$D$2:$D$37,'Monthly source'!$A$2:$A$37,$B$5,'Monthly source'!$B$2:$B$37,C18)</x:f>
        <x:v>34373</x:v>
      </x:c>
      <x:c r="E18" s="7" t="n">
        <x:f>SUMIFS('Monthly source'!$E$2:$E$37,'Monthly source'!$A$2:$A$37,$B$5,'Monthly source'!$B$2:$B$37,C18)</x:f>
        <x:v>32615</x:v>
      </x:c>
      <x:c r="F18" s="7" t="n">
        <x:f>SUMIFS('Monthly source'!$F$2:$F$37,'Monthly source'!$A$2:$A$37,$B$5,'Monthly source'!$B$2:$B$37,C18)</x:f>
        <x:v>1758</x:v>
      </x:c>
      <x:c r="G18" s="7" t="n">
        <x:f>SUMIFS('Monthly source'!$G$2:$G$37,'Monthly source'!$A$2:$A$37,$B$5,'Monthly source'!$B$2:$B$37,C18)</x:f>
        <x:v>26142</x:v>
      </x:c>
      <x:c r="H18" s="7" t="n">
        <x:f>SUMIFS('Monthly source'!$I$2:$I$37,'Monthly source'!$A$2:$A$37,$B$5,'Monthly source'!$B$2:$B$37,C18)</x:f>
        <x:v>6473</x:v>
      </x:c>
      <x:c r="I18" s="17" t="n">
        <x:f>IFERROR(F18/D18,0)</x:f>
        <x:v>0.05114479387891659</x:v>
      </x:c>
      <x:c r="J18" s="17" t="n">
        <x:f>IFERROR(G18/E18,0)</x:f>
        <x:v>0.8015330369461904</x:v>
      </x:c>
      <x:c r="K18" s="17" t="n">
        <x:f>IFERROR(SUMIFS('Monthly source'!$H$2:$H$37,'Monthly source'!$A$2:$A$37,$B$5,'Monthly source'!$B$2:$B$37,C18)/E18,0)</x:f>
        <x:v>0.8043231641882569</x:v>
      </x:c>
      <x:c r="L18" s="1"/>
      <x:c r="M18" s="1"/>
      <x:c r="N18" s="1"/>
    </x:row>
    <x:row r="19" ht="23" customHeight="1">
      <x:c r="A19" s="16" t="str">
        <x:v>Apr</x:v>
      </x:c>
      <x:c r="B19" s="1" t="n">
        <x:f>$B$5</x:f>
        <x:v>2025</x:v>
      </x:c>
      <x:c r="C19" s="1" t="n">
        <x:v>4</x:v>
      </x:c>
      <x:c r="D19" s="7" t="n">
        <x:f>SUMIFS('Monthly source'!$D$2:$D$37,'Monthly source'!$A$2:$A$37,$B$5,'Monthly source'!$B$2:$B$37,C19)</x:f>
        <x:v>34966</x:v>
      </x:c>
      <x:c r="E19" s="7" t="n">
        <x:f>SUMIFS('Monthly source'!$E$2:$E$37,'Monthly source'!$A$2:$A$37,$B$5,'Monthly source'!$B$2:$B$37,C19)</x:f>
        <x:v>34417</x:v>
      </x:c>
      <x:c r="F19" s="7" t="n">
        <x:f>SUMIFS('Monthly source'!$F$2:$F$37,'Monthly source'!$A$2:$A$37,$B$5,'Monthly source'!$B$2:$B$37,C19)</x:f>
        <x:v>549</x:v>
      </x:c>
      <x:c r="G19" s="7" t="n">
        <x:f>SUMIFS('Monthly source'!$G$2:$G$37,'Monthly source'!$A$2:$A$37,$B$5,'Monthly source'!$B$2:$B$37,C19)</x:f>
        <x:v>28436</x:v>
      </x:c>
      <x:c r="H19" s="7" t="n">
        <x:f>SUMIFS('Monthly source'!$I$2:$I$37,'Monthly source'!$A$2:$A$37,$B$5,'Monthly source'!$B$2:$B$37,C19)</x:f>
        <x:v>5981</x:v>
      </x:c>
      <x:c r="I19" s="17" t="n">
        <x:f>IFERROR(F19/D19,0)</x:f>
        <x:v>0.015700966653320367</x:v>
      </x:c>
      <x:c r="J19" s="17" t="n">
        <x:f>IFERROR(G19/E19,0)</x:f>
        <x:v>0.826219600778685</x:v>
      </x:c>
      <x:c r="K19" s="17" t="n">
        <x:f>IFERROR(SUMIFS('Monthly source'!$H$2:$H$37,'Monthly source'!$A$2:$A$37,$B$5,'Monthly source'!$B$2:$B$37,C19)/E19,0)</x:f>
        <x:v>0.821628846209722</x:v>
      </x:c>
      <x:c r="L19" s="1"/>
      <x:c r="M19" s="1"/>
      <x:c r="N19" s="1"/>
    </x:row>
    <x:row r="20" ht="23" customHeight="1">
      <x:c r="A20" s="16" t="str">
        <x:v>May</x:v>
      </x:c>
      <x:c r="B20" s="1" t="n">
        <x:f>$B$5</x:f>
        <x:v>2025</x:v>
      </x:c>
      <x:c r="C20" s="1" t="n">
        <x:v>5</x:v>
      </x:c>
      <x:c r="D20" s="7" t="n">
        <x:f>SUMIFS('Monthly source'!$D$2:$D$37,'Monthly source'!$A$2:$A$37,$B$5,'Monthly source'!$B$2:$B$37,C20)</x:f>
        <x:v>34448</x:v>
      </x:c>
      <x:c r="E20" s="7" t="n">
        <x:f>SUMIFS('Monthly source'!$E$2:$E$37,'Monthly source'!$A$2:$A$37,$B$5,'Monthly source'!$B$2:$B$37,C20)</x:f>
        <x:v>33770</x:v>
      </x:c>
      <x:c r="F20" s="7" t="n">
        <x:f>SUMIFS('Monthly source'!$F$2:$F$37,'Monthly source'!$A$2:$A$37,$B$5,'Monthly source'!$B$2:$B$37,C20)</x:f>
        <x:v>678</x:v>
      </x:c>
      <x:c r="G20" s="7" t="n">
        <x:f>SUMIFS('Monthly source'!$G$2:$G$37,'Monthly source'!$A$2:$A$37,$B$5,'Monthly source'!$B$2:$B$37,C20)</x:f>
        <x:v>27772</x:v>
      </x:c>
      <x:c r="H20" s="7" t="n">
        <x:f>SUMIFS('Monthly source'!$I$2:$I$37,'Monthly source'!$A$2:$A$37,$B$5,'Monthly source'!$B$2:$B$37,C20)</x:f>
        <x:v>5998</x:v>
      </x:c>
      <x:c r="I20" s="17" t="n">
        <x:f>IFERROR(F20/D20,0)</x:f>
        <x:v>0.01968183929400836</x:v>
      </x:c>
      <x:c r="J20" s="17" t="n">
        <x:f>IFERROR(G20/E20,0)</x:f>
        <x:v>0.8223867337873852</x:v>
      </x:c>
      <x:c r="K20" s="17" t="n">
        <x:f>IFERROR(SUMIFS('Monthly source'!$H$2:$H$37,'Monthly source'!$A$2:$A$37,$B$5,'Monthly source'!$B$2:$B$37,C20)/E20,0)</x:f>
        <x:v>0.8351791530944626</x:v>
      </x:c>
      <x:c r="L20" s="1"/>
      <x:c r="M20" s="1"/>
      <x:c r="N20" s="1"/>
    </x:row>
    <x:row r="21" ht="23" customHeight="1">
      <x:c r="A21" s="16" t="str">
        <x:v>Jun</x:v>
      </x:c>
      <x:c r="B21" s="1" t="n">
        <x:f>$B$5</x:f>
        <x:v>2025</x:v>
      </x:c>
      <x:c r="C21" s="1" t="n">
        <x:v>6</x:v>
      </x:c>
      <x:c r="D21" s="7" t="n">
        <x:f>SUMIFS('Monthly source'!$D$2:$D$37,'Monthly source'!$A$2:$A$37,$B$5,'Monthly source'!$B$2:$B$37,C21)</x:f>
        <x:v>33736</x:v>
      </x:c>
      <x:c r="E21" s="7" t="n">
        <x:f>SUMIFS('Monthly source'!$E$2:$E$37,'Monthly source'!$A$2:$A$37,$B$5,'Monthly source'!$B$2:$B$37,C21)</x:f>
        <x:v>32903</x:v>
      </x:c>
      <x:c r="F21" s="7" t="n">
        <x:f>SUMIFS('Monthly source'!$F$2:$F$37,'Monthly source'!$A$2:$A$37,$B$5,'Monthly source'!$B$2:$B$37,C21)</x:f>
        <x:v>833</x:v>
      </x:c>
      <x:c r="G21" s="7" t="n">
        <x:f>SUMIFS('Monthly source'!$G$2:$G$37,'Monthly source'!$A$2:$A$37,$B$5,'Monthly source'!$B$2:$B$37,C21)</x:f>
        <x:v>25884</x:v>
      </x:c>
      <x:c r="H21" s="7" t="n">
        <x:f>SUMIFS('Monthly source'!$I$2:$I$37,'Monthly source'!$A$2:$A$37,$B$5,'Monthly source'!$B$2:$B$37,C21)</x:f>
        <x:v>7019</x:v>
      </x:c>
      <x:c r="I21" s="17" t="n">
        <x:f>IFERROR(F21/D21,0)</x:f>
        <x:v>0.024691723974389377</x:v>
      </x:c>
      <x:c r="J21" s="17" t="n">
        <x:f>IFERROR(G21/E21,0)</x:f>
        <x:v>0.7866759869920676</x:v>
      </x:c>
      <x:c r="K21" s="17" t="n">
        <x:f>IFERROR(SUMIFS('Monthly source'!$H$2:$H$37,'Monthly source'!$A$2:$A$37,$B$5,'Monthly source'!$B$2:$B$37,C21)/E21,0)</x:f>
        <x:v>0.79397015469714</x:v>
      </x:c>
      <x:c r="L21" s="1"/>
      <x:c r="M21" s="1"/>
      <x:c r="N21" s="1"/>
    </x:row>
    <x:row r="22" ht="23" customHeight="1">
      <x:c r="A22" s="16" t="str">
        <x:v>Jul</x:v>
      </x:c>
      <x:c r="B22" s="1" t="n">
        <x:f>$B$5</x:f>
        <x:v>2025</x:v>
      </x:c>
      <x:c r="C22" s="1" t="n">
        <x:v>7</x:v>
      </x:c>
      <x:c r="D22" s="7" t="n">
        <x:f>SUMIFS('Monthly source'!$D$2:$D$37,'Monthly source'!$A$2:$A$37,$B$5,'Monthly source'!$B$2:$B$37,C22)</x:f>
        <x:v>36906</x:v>
      </x:c>
      <x:c r="E22" s="7" t="n">
        <x:f>SUMIFS('Monthly source'!$E$2:$E$37,'Monthly source'!$A$2:$A$37,$B$5,'Monthly source'!$B$2:$B$37,C22)</x:f>
        <x:v>35728</x:v>
      </x:c>
      <x:c r="F22" s="7" t="n">
        <x:f>SUMIFS('Monthly source'!$F$2:$F$37,'Monthly source'!$A$2:$A$37,$B$5,'Monthly source'!$B$2:$B$37,C22)</x:f>
        <x:v>1178</x:v>
      </x:c>
      <x:c r="G22" s="7" t="n">
        <x:f>SUMIFS('Monthly source'!$G$2:$G$37,'Monthly source'!$A$2:$A$37,$B$5,'Monthly source'!$B$2:$B$37,C22)</x:f>
        <x:v>25400</x:v>
      </x:c>
      <x:c r="H22" s="7" t="n">
        <x:f>SUMIFS('Monthly source'!$I$2:$I$37,'Monthly source'!$A$2:$A$37,$B$5,'Monthly source'!$B$2:$B$37,C22)</x:f>
        <x:v>10328</x:v>
      </x:c>
      <x:c r="I22" s="17" t="n">
        <x:f>IFERROR(F22/D22,0)</x:f>
        <x:v>0.03191892917140844</x:v>
      </x:c>
      <x:c r="J22" s="17" t="n">
        <x:f>IFERROR(G22/E22,0)</x:f>
        <x:v>0.7109270040304523</x:v>
      </x:c>
      <x:c r="K22" s="17" t="n">
        <x:f>IFERROR(SUMIFS('Monthly source'!$H$2:$H$37,'Monthly source'!$A$2:$A$37,$B$5,'Monthly source'!$B$2:$B$37,C22)/E22,0)</x:f>
        <x:v>0.7234941782355575</x:v>
      </x:c>
      <x:c r="L22" s="1"/>
      <x:c r="M22" s="1"/>
      <x:c r="N22" s="1"/>
    </x:row>
    <x:row r="23" ht="23" customHeight="1">
      <x:c r="A23" s="16" t="str">
        <x:v>Aug</x:v>
      </x:c>
      <x:c r="B23" s="1" t="n">
        <x:f>$B$5</x:f>
        <x:v>2025</x:v>
      </x:c>
      <x:c r="C23" s="1" t="n">
        <x:v>8</x:v>
      </x:c>
      <x:c r="D23" s="7" t="n">
        <x:f>SUMIFS('Monthly source'!$D$2:$D$37,'Monthly source'!$A$2:$A$37,$B$5,'Monthly source'!$B$2:$B$37,C23)</x:f>
        <x:v>34905</x:v>
      </x:c>
      <x:c r="E23" s="7" t="n">
        <x:f>SUMIFS('Monthly source'!$E$2:$E$37,'Monthly source'!$A$2:$A$37,$B$5,'Monthly source'!$B$2:$B$37,C23)</x:f>
        <x:v>34067</x:v>
      </x:c>
      <x:c r="F23" s="7" t="n">
        <x:f>SUMIFS('Monthly source'!$F$2:$F$37,'Monthly source'!$A$2:$A$37,$B$5,'Monthly source'!$B$2:$B$37,C23)</x:f>
        <x:v>838</x:v>
      </x:c>
      <x:c r="G23" s="7" t="n">
        <x:f>SUMIFS('Monthly source'!$G$2:$G$37,'Monthly source'!$A$2:$A$37,$B$5,'Monthly source'!$B$2:$B$37,C23)</x:f>
        <x:v>24850</x:v>
      </x:c>
      <x:c r="H23" s="7" t="n">
        <x:f>SUMIFS('Monthly source'!$I$2:$I$37,'Monthly source'!$A$2:$A$37,$B$5,'Monthly source'!$B$2:$B$37,C23)</x:f>
        <x:v>9217</x:v>
      </x:c>
      <x:c r="I23" s="17" t="n">
        <x:f>IFERROR(F23/D23,0)</x:f>
        <x:v>0.024008021773384902</x:v>
      </x:c>
      <x:c r="J23" s="17" t="n">
        <x:f>IFERROR(G23/E23,0)</x:f>
        <x:v>0.7294449173687146</x:v>
      </x:c>
      <x:c r="K23" s="17" t="n">
        <x:f>IFERROR(SUMIFS('Monthly source'!$H$2:$H$37,'Monthly source'!$A$2:$A$37,$B$5,'Monthly source'!$B$2:$B$37,C23)/E23,0)</x:f>
        <x:v>0.7397187894443303</x:v>
      </x:c>
      <x:c r="L23" s="1"/>
      <x:c r="M23" s="1"/>
      <x:c r="N23" s="1"/>
    </x:row>
    <x:row r="24" ht="23" customHeight="1">
      <x:c r="A24" s="16" t="str">
        <x:v>Sep</x:v>
      </x:c>
      <x:c r="B24" s="1" t="n">
        <x:f>$B$5</x:f>
        <x:v>2025</x:v>
      </x:c>
      <x:c r="C24" s="1" t="n">
        <x:v>9</x:v>
      </x:c>
      <x:c r="D24" s="7" t="n">
        <x:f>SUMIFS('Monthly source'!$D$2:$D$37,'Monthly source'!$A$2:$A$37,$B$5,'Monthly source'!$B$2:$B$37,C24)</x:f>
        <x:v>35726</x:v>
      </x:c>
      <x:c r="E24" s="7" t="n">
        <x:f>SUMIFS('Monthly source'!$E$2:$E$37,'Monthly source'!$A$2:$A$37,$B$5,'Monthly source'!$B$2:$B$37,C24)</x:f>
        <x:v>34985</x:v>
      </x:c>
      <x:c r="F24" s="7" t="n">
        <x:f>SUMIFS('Monthly source'!$F$2:$F$37,'Monthly source'!$A$2:$A$37,$B$5,'Monthly source'!$B$2:$B$37,C24)</x:f>
        <x:v>741</x:v>
      </x:c>
      <x:c r="G24" s="7" t="n">
        <x:f>SUMIFS('Monthly source'!$G$2:$G$37,'Monthly source'!$A$2:$A$37,$B$5,'Monthly source'!$B$2:$B$37,C24)</x:f>
        <x:v>27263</x:v>
      </x:c>
      <x:c r="H24" s="7" t="n">
        <x:f>SUMIFS('Monthly source'!$I$2:$I$37,'Monthly source'!$A$2:$A$37,$B$5,'Monthly source'!$B$2:$B$37,C24)</x:f>
        <x:v>7722</x:v>
      </x:c>
      <x:c r="I24" s="17" t="n">
        <x:f>IFERROR(F24/D24,0)</x:f>
        <x:v>0.020741196887420925</x:v>
      </x:c>
      <x:c r="J24" s="17" t="n">
        <x:f>IFERROR(G24/E24,0)</x:f>
        <x:v>0.7792768329283979</x:v>
      </x:c>
      <x:c r="K24" s="17" t="n">
        <x:f>IFERROR(SUMIFS('Monthly source'!$H$2:$H$37,'Monthly source'!$A$2:$A$37,$B$5,'Monthly source'!$B$2:$B$37,C24)/E24,0)</x:f>
        <x:v>0.7917964842075175</x:v>
      </x:c>
      <x:c r="L24" s="1"/>
      <x:c r="M24" s="1"/>
      <x:c r="N24" s="1"/>
    </x:row>
    <x:row r="25" ht="23" customHeight="1">
      <x:c r="A25" s="16" t="str">
        <x:v>Oct</x:v>
      </x:c>
      <x:c r="B25" s="1" t="n">
        <x:f>$B$5</x:f>
        <x:v>2025</x:v>
      </x:c>
      <x:c r="C25" s="1" t="n">
        <x:v>10</x:v>
      </x:c>
      <x:c r="D25" s="7" t="n">
        <x:f>SUMIFS('Monthly source'!$D$2:$D$37,'Monthly source'!$A$2:$A$37,$B$5,'Monthly source'!$B$2:$B$37,C25)</x:f>
        <x:v>36770</x:v>
      </x:c>
      <x:c r="E25" s="7" t="n">
        <x:f>SUMIFS('Monthly source'!$E$2:$E$37,'Monthly source'!$A$2:$A$37,$B$5,'Monthly source'!$B$2:$B$37,C25)</x:f>
        <x:v>35968</x:v>
      </x:c>
      <x:c r="F25" s="7" t="n">
        <x:f>SUMIFS('Monthly source'!$F$2:$F$37,'Monthly source'!$A$2:$A$37,$B$5,'Monthly source'!$B$2:$B$37,C25)</x:f>
        <x:v>802</x:v>
      </x:c>
      <x:c r="G25" s="7" t="n">
        <x:f>SUMIFS('Monthly source'!$G$2:$G$37,'Monthly source'!$A$2:$A$37,$B$5,'Monthly source'!$B$2:$B$37,C25)</x:f>
        <x:v>26109</x:v>
      </x:c>
      <x:c r="H25" s="7" t="n">
        <x:f>SUMIFS('Monthly source'!$I$2:$I$37,'Monthly source'!$A$2:$A$37,$B$5,'Monthly source'!$B$2:$B$37,C25)</x:f>
        <x:v>9859</x:v>
      </x:c>
      <x:c r="I25" s="17" t="n">
        <x:f>IFERROR(F25/D25,0)</x:f>
        <x:v>0.02181125917867827</x:v>
      </x:c>
      <x:c r="J25" s="17" t="n">
        <x:f>IFERROR(G25/E25,0)</x:f>
        <x:v>0.7258952402135231</x:v>
      </x:c>
      <x:c r="K25" s="17" t="n">
        <x:f>IFERROR(SUMIFS('Monthly source'!$H$2:$H$37,'Monthly source'!$A$2:$A$37,$B$5,'Monthly source'!$B$2:$B$37,C25)/E25,0)</x:f>
        <x:v>0.7349866548042705</x:v>
      </x:c>
      <x:c r="L25" s="1"/>
      <x:c r="M25" s="1"/>
      <x:c r="N25" s="1"/>
    </x:row>
    <x:row r="26" ht="23" customHeight="1">
      <x:c r="A26" s="16" t="str">
        <x:v>Nov</x:v>
      </x:c>
      <x:c r="B26" s="1" t="n">
        <x:f>$B$5</x:f>
        <x:v>2025</x:v>
      </x:c>
      <x:c r="C26" s="1" t="n">
        <x:v>11</x:v>
      </x:c>
      <x:c r="D26" s="7" t="n">
        <x:f>SUMIFS('Monthly source'!$D$2:$D$37,'Monthly source'!$A$2:$A$37,$B$5,'Monthly source'!$B$2:$B$37,C26)</x:f>
        <x:v>35299</x:v>
      </x:c>
      <x:c r="E26" s="7" t="n">
        <x:f>SUMIFS('Monthly source'!$E$2:$E$37,'Monthly source'!$A$2:$A$37,$B$5,'Monthly source'!$B$2:$B$37,C26)</x:f>
        <x:v>34206</x:v>
      </x:c>
      <x:c r="F26" s="7" t="n">
        <x:f>SUMIFS('Monthly source'!$F$2:$F$37,'Monthly source'!$A$2:$A$37,$B$5,'Monthly source'!$B$2:$B$37,C26)</x:f>
        <x:v>1093</x:v>
      </x:c>
      <x:c r="G26" s="7" t="n">
        <x:f>SUMIFS('Monthly source'!$G$2:$G$37,'Monthly source'!$A$2:$A$37,$B$5,'Monthly source'!$B$2:$B$37,C26)</x:f>
        <x:v>22946</x:v>
      </x:c>
      <x:c r="H26" s="7" t="n">
        <x:f>SUMIFS('Monthly source'!$I$2:$I$37,'Monthly source'!$A$2:$A$37,$B$5,'Monthly source'!$B$2:$B$37,C26)</x:f>
        <x:v>11260</x:v>
      </x:c>
      <x:c r="I26" s="17" t="n">
        <x:f>IFERROR(F26/D26,0)</x:f>
        <x:v>0.030964049973087056</x:v>
      </x:c>
      <x:c r="J26" s="17" t="n">
        <x:f>IFERROR(G26/E26,0)</x:f>
        <x:v>0.6708179851488043</x:v>
      </x:c>
      <x:c r="K26" s="17" t="n">
        <x:f>IFERROR(SUMIFS('Monthly source'!$H$2:$H$37,'Monthly source'!$A$2:$A$37,$B$5,'Monthly source'!$B$2:$B$37,C26)/E26,0)</x:f>
        <x:v>0.6983862480266619</x:v>
      </x:c>
      <x:c r="L26" s="1"/>
      <x:c r="M26" s="1"/>
      <x:c r="N26" s="1"/>
    </x:row>
    <x:row r="27" ht="23" customHeight="1">
      <x:c r="A27" s="16" t="str">
        <x:v>Dec</x:v>
      </x:c>
      <x:c r="B27" s="1" t="n">
        <x:f>$B$5</x:f>
        <x:v>2025</x:v>
      </x:c>
      <x:c r="C27" s="1" t="n">
        <x:v>12</x:v>
      </x:c>
      <x:c r="D27" s="7" t="n">
        <x:f>SUMIFS('Monthly source'!$D$2:$D$37,'Monthly source'!$A$2:$A$37,$B$5,'Monthly source'!$B$2:$B$37,C27)</x:f>
        <x:v>36334</x:v>
      </x:c>
      <x:c r="E27" s="7" t="n">
        <x:f>SUMIFS('Monthly source'!$E$2:$E$37,'Monthly source'!$A$2:$A$37,$B$5,'Monthly source'!$B$2:$B$37,C27)</x:f>
        <x:v>35656</x:v>
      </x:c>
      <x:c r="F27" s="7" t="n">
        <x:f>SUMIFS('Monthly source'!$F$2:$F$37,'Monthly source'!$A$2:$A$37,$B$5,'Monthly source'!$B$2:$B$37,C27)</x:f>
        <x:v>678</x:v>
      </x:c>
      <x:c r="G27" s="7" t="n">
        <x:f>SUMIFS('Monthly source'!$G$2:$G$37,'Monthly source'!$A$2:$A$37,$B$5,'Monthly source'!$B$2:$B$37,C27)</x:f>
        <x:v>25839</x:v>
      </x:c>
      <x:c r="H27" s="7" t="n">
        <x:f>SUMIFS('Monthly source'!$I$2:$I$37,'Monthly source'!$A$2:$A$37,$B$5,'Monthly source'!$B$2:$B$37,C27)</x:f>
        <x:v>9817</x:v>
      </x:c>
      <x:c r="I27" s="17" t="n">
        <x:f>IFERROR(F27/D27,0)</x:f>
        <x:v>0.018660208069576707</x:v>
      </x:c>
      <x:c r="J27" s="17" t="n">
        <x:f>IFERROR(G27/E27,0)</x:f>
        <x:v>0.7246746690599057</x:v>
      </x:c>
      <x:c r="K27" s="17" t="n">
        <x:f>IFERROR(SUMIFS('Monthly source'!$H$2:$H$37,'Monthly source'!$A$2:$A$37,$B$5,'Monthly source'!$B$2:$B$37,C27)/E27,0)</x:f>
        <x:v>0.7310410590083015</x:v>
      </x:c>
      <x:c r="L27" s="1"/>
      <x:c r="M27" s="1"/>
      <x:c r="N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3" customHeight="1">
      <x:c r="A44" s="18" t="str">
        <x:v>Source: BITRE time series, downloaded 22 Sep 2026. Counts reconcile to published route totals.</x:v>
      </x:c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</x:sheetData>
  <x:mergeCells>
    <x:mergeCell ref="A1:N2"/>
    <x:mergeCell ref="A3:N3"/>
    <x:mergeCell ref="D5:N5"/>
    <x:mergeCell ref="A7:C7"/>
    <x:mergeCell ref="A8:C9"/>
    <x:mergeCell ref="D7:F7"/>
    <x:mergeCell ref="D8:F9"/>
    <x:mergeCell ref="G7:J7"/>
    <x:mergeCell ref="G8:J9"/>
    <x:mergeCell ref="K7:N7"/>
    <x:mergeCell ref="K8:N9"/>
    <x:mergeCell ref="A11:N11"/>
    <x:mergeCell ref="A12:N12"/>
    <x:mergeCell ref="A14:N14"/>
    <x:mergeCell ref="A44:N44"/>
  </x:mergeCells>
  <x:dataValidations count="1">
    <x:dataValidation type="list" sqref="B5">
      <x:formula1>"2023,2024,2025"</x:formula1>
    </x:dataValidation>
  </x:dataValidations>
  <x:pageMargins left="0.7" right="0.7" top="0.75" bottom="0.75" header="0.3" footer="0.3"/>
  <x:drawing xmlns:r="http://schemas.openxmlformats.org/officeDocument/2006/relationships" r:id="Rab51f2633f284423"/>
</x:worksheet>
</file>

<file path=xl/worksheets/sheet2.xml><?xml version="1.0" encoding="utf-8"?>
<x:worksheet xmlns:x="http://schemas.openxmlformats.org/spreadsheetml/2006/main">
  <x:sheetPr>
    <x:tabColor rgb="FF007F8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6" customHeight="1">
      <x:c r="A1" s="3" t="str">
        <x:v>ROUTE REVIEW  /  investigation shortlist</x:v>
      </x:c>
      <x:c r="B1" s="3" t="str">
        <x:v>ROUTE REVIEW  /  investigation shortlist</x:v>
      </x:c>
      <x:c r="C1" s="3" t="str">
        <x:v>ROUTE REVIEW  /  investigation shortlist</x:v>
      </x:c>
      <x:c r="D1" s="3" t="str">
        <x:v>ROUTE REVIEW  /  investigation shortlist</x:v>
      </x:c>
      <x:c r="E1" s="3" t="str">
        <x:v>ROUTE REVIEW  /  investigation shortlist</x:v>
      </x:c>
      <x:c r="F1" s="3" t="str">
        <x:v>ROUTE REVIEW  /  investigation shortlist</x:v>
      </x:c>
      <x:c r="G1" s="3" t="str">
        <x:v>ROUTE REVIEW  /  investigation shortlist</x:v>
      </x:c>
      <x:c r="H1" s="3" t="str">
        <x:v>ROUTE REVIEW  /  investigation shortlist</x:v>
      </x:c>
    </x:row>
    <x:row r="2" ht="36" customHeight="1">
      <x:c r="A2" s="3" t="str">
        <x:v>ROUTE REVIEW  /  investigation shortlist</x:v>
      </x:c>
      <x:c r="B2" s="3" t="str">
        <x:v>ROUTE REVIEW  /  investigation shortlist</x:v>
      </x:c>
      <x:c r="C2" s="3" t="str">
        <x:v>ROUTE REVIEW  /  investigation shortlist</x:v>
      </x:c>
      <x:c r="D2" s="3" t="str">
        <x:v>ROUTE REVIEW  /  investigation shortlist</x:v>
      </x:c>
      <x:c r="E2" s="3" t="str">
        <x:v>ROUTE REVIEW  /  investigation shortlist</x:v>
      </x:c>
      <x:c r="F2" s="3" t="str">
        <x:v>ROUTE REVIEW  /  investigation shortlist</x:v>
      </x:c>
      <x:c r="G2" s="3" t="str">
        <x:v>ROUTE REVIEW  /  investigation shortlist</x:v>
      </x:c>
      <x:c r="H2" s="3" t="str">
        <x:v>ROUTE REVIEW  /  investigation shortlist</x:v>
      </x:c>
    </x:row>
    <x:row r="3" ht="23" customHeight="1">
      <x:c r="A3" s="1" t="str">
        <x:v>Year follows Dashboard. Filter/sort columns; compare cancellation volume AND rate.</x:v>
      </x:c>
      <x:c r="B3" s="1"/>
      <x:c r="C3" s="1"/>
      <x:c r="D3" s="1"/>
      <x:c r="E3" s="1"/>
      <x:c r="F3" s="1"/>
      <x:c r="G3" s="1"/>
      <x:c r="H3" s="1"/>
    </x:row>
    <x:row r="4" ht="23" customHeight="1">
      <x:c r="A4" s="1" t="str">
        <x:v>Low volume and partial-year coverage need caution. This is prioritisation, not causal attribution.</x:v>
      </x:c>
      <x:c r="B4" s="1"/>
      <x:c r="C4" s="1"/>
      <x:c r="D4" s="1"/>
      <x:c r="E4" s="1"/>
      <x:c r="F4" s="1"/>
      <x:c r="G4" s="1"/>
      <x:c r="H4" s="1"/>
    </x:row>
    <x:row r="5" ht="23" customHeight="1">
      <x:c r="A5" s="1"/>
      <x:c r="B5" s="1"/>
      <x:c r="C5" s="1"/>
      <x:c r="D5" s="1"/>
      <x:c r="E5" s="1"/>
      <x:c r="F5" s="1"/>
      <x:c r="G5" s="1"/>
      <x:c r="H5" s="1"/>
    </x:row>
    <x:row r="6" ht="36" customHeight="1">
      <x:c r="A6" s="15" t="str">
        <x:v>Directional route</x:v>
      </x:c>
      <x:c r="B6" s="15" t="str">
        <x:v>Scheduled</x:v>
      </x:c>
      <x:c r="C6" s="15" t="str">
        <x:v>Cancellations</x:v>
      </x:c>
      <x:c r="D6" s="15" t="str">
        <x:v>Cancel %</x:v>
      </x:c>
      <x:c r="E6" s="15" t="str">
        <x:v>Arrival OTP</x:v>
      </x:c>
      <x:c r="F6" s="15" t="str">
        <x:v>Delayed arrivals</x:v>
      </x:c>
      <x:c r="G6" s="15" t="str">
        <x:v>Months reported</x:v>
      </x:c>
      <x:c r="H6" s="15" t="str">
        <x:v>Volume rank</x:v>
      </x:c>
    </x:row>
    <x:row r="7" ht="23" customHeight="1">
      <x:c r="A7" s="1" t="str">
        <x:v>Adelaide-Alice Springs</x:v>
      </x:c>
      <x:c r="B7" s="7" t="n">
        <x:f>SUMIFS('Route source'!$D$2:$D$365,'Route source'!$A$2:$A$365,Dashboard!$B$5,'Route source'!$B$2:$B$365,A7)</x:f>
        <x:v>618</x:v>
      </x:c>
      <x:c r="C7" s="7" t="n">
        <x:f>SUMIFS('Route source'!$F$2:$F$365,'Route source'!$A$2:$A$365,Dashboard!$B$5,'Route source'!$B$2:$B$365,A7)</x:f>
        <x:v>6</x:v>
      </x:c>
      <x:c r="D7" s="10" t="n">
        <x:f>IFERROR(C7/B7,"")</x:f>
        <x:v>0.009708737864077669</x:v>
      </x:c>
      <x:c r="E7" s="10" t="n">
        <x:f>IFERROR(SUMIFS('Route source'!$G$2:$G$365,'Route source'!$A$2:$A$365,Dashboard!$B$5,'Route source'!$B$2:$B$365,A7)/SUMIFS('Route source'!$E$2:$E$365,'Route source'!$A$2:$A$365,Dashboard!$B$5,'Route source'!$B$2:$B$365,A7),"")</x:f>
        <x:v>0.7549019607843137</x:v>
      </x:c>
      <x:c r="F7" s="7" t="n">
        <x:f>SUMIFS('Route source'!$H$2:$H$365,'Route source'!$A$2:$A$365,Dashboard!$B$5,'Route source'!$B$2:$B$365,A7)</x:f>
        <x:v>150</x:v>
      </x:c>
      <x:c r="G7" s="1" t="n">
        <x:f>SUMIFS('Route source'!$C$2:$C$365,'Route source'!$A$2:$A$365,Dashboard!$B$5,'Route source'!$B$2:$B$365,A7)</x:f>
        <x:v>12</x:v>
      </x:c>
      <x:c r="H7" s="1" t="n">
        <x:f>RANK(C7,$C$7:$C$134,0)</x:f>
        <x:v>109</x:v>
      </x:c>
    </x:row>
    <x:row r="8" ht="23" customHeight="1">
      <x:c r="A8" s="1" t="str">
        <x:v>Adelaide-Brisbane</x:v>
      </x:c>
      <x:c r="B8" s="7" t="n">
        <x:f>SUMIFS('Route source'!$D$2:$D$365,'Route source'!$A$2:$A$365,Dashboard!$B$5,'Route source'!$B$2:$B$365,A8)</x:f>
        <x:v>3967</x:v>
      </x:c>
      <x:c r="C8" s="7" t="n">
        <x:f>SUMIFS('Route source'!$F$2:$F$365,'Route source'!$A$2:$A$365,Dashboard!$B$5,'Route source'!$B$2:$B$365,A8)</x:f>
        <x:v>83</x:v>
      </x:c>
      <x:c r="D8" s="10" t="n">
        <x:f>IFERROR(C8/B8,"")</x:f>
        <x:v>0.0209226115452483</x:v>
      </x:c>
      <x:c r="E8" s="10" t="n">
        <x:f>IFERROR(SUMIFS('Route source'!$G$2:$G$365,'Route source'!$A$2:$A$365,Dashboard!$B$5,'Route source'!$B$2:$B$365,A8)/SUMIFS('Route source'!$E$2:$E$365,'Route source'!$A$2:$A$365,Dashboard!$B$5,'Route source'!$B$2:$B$365,A8),"")</x:f>
        <x:v>0.7999485066941298</x:v>
      </x:c>
      <x:c r="F8" s="7" t="n">
        <x:f>SUMIFS('Route source'!$H$2:$H$365,'Route source'!$A$2:$A$365,Dashboard!$B$5,'Route source'!$B$2:$B$365,A8)</x:f>
        <x:v>777</x:v>
      </x:c>
      <x:c r="G8" s="1" t="n">
        <x:f>SUMIFS('Route source'!$C$2:$C$365,'Route source'!$A$2:$A$365,Dashboard!$B$5,'Route source'!$B$2:$B$365,A8)</x:f>
        <x:v>12</x:v>
      </x:c>
      <x:c r="H8" s="1" t="n">
        <x:f>RANK(C8,$C$7:$C$134,0)</x:f>
        <x:v>32</x:v>
      </x:c>
    </x:row>
    <x:row r="9" ht="23" customHeight="1">
      <x:c r="A9" s="1" t="str">
        <x:v>Adelaide-Cairns</x:v>
      </x:c>
      <x:c r="B9" s="7" t="n">
        <x:f>SUMIFS('Route source'!$D$2:$D$365,'Route source'!$A$2:$A$365,Dashboard!$B$5,'Route source'!$B$2:$B$365,A9)</x:f>
        <x:v>0</x:v>
      </x:c>
      <x:c r="C9" s="7" t="n">
        <x:f>SUMIFS('Route source'!$F$2:$F$365,'Route source'!$A$2:$A$365,Dashboard!$B$5,'Route source'!$B$2:$B$365,A9)</x:f>
        <x:v>0</x:v>
      </x:c>
      <x:c r="D9" s="10" t="str">
        <x:f>IFERROR(C9/B9,"")</x:f>
      </x:c>
      <x:c r="E9" s="10" t="str">
        <x:f>IFERROR(SUMIFS('Route source'!$G$2:$G$365,'Route source'!$A$2:$A$365,Dashboard!$B$5,'Route source'!$B$2:$B$365,A9)/SUMIFS('Route source'!$E$2:$E$365,'Route source'!$A$2:$A$365,Dashboard!$B$5,'Route source'!$B$2:$B$365,A9),"")</x:f>
      </x:c>
      <x:c r="F9" s="7" t="n">
        <x:f>SUMIFS('Route source'!$H$2:$H$365,'Route source'!$A$2:$A$365,Dashboard!$B$5,'Route source'!$B$2:$B$365,A9)</x:f>
        <x:v>0</x:v>
      </x:c>
      <x:c r="G9" s="1" t="n">
        <x:f>SUMIFS('Route source'!$C$2:$C$365,'Route source'!$A$2:$A$365,Dashboard!$B$5,'Route source'!$B$2:$B$365,A9)</x:f>
        <x:v>0</x:v>
      </x:c>
      <x:c r="H9" s="1" t="n">
        <x:f>RANK(C9,$C$7:$C$134,0)</x:f>
        <x:v>120</x:v>
      </x:c>
    </x:row>
    <x:row r="10" ht="23" customHeight="1">
      <x:c r="A10" s="1" t="str">
        <x:v>Adelaide-Canberra</x:v>
      </x:c>
      <x:c r="B10" s="7" t="n">
        <x:f>SUMIFS('Route source'!$D$2:$D$365,'Route source'!$A$2:$A$365,Dashboard!$B$5,'Route source'!$B$2:$B$365,A10)</x:f>
        <x:v>1302</x:v>
      </x:c>
      <x:c r="C10" s="7" t="n">
        <x:f>SUMIFS('Route source'!$F$2:$F$365,'Route source'!$A$2:$A$365,Dashboard!$B$5,'Route source'!$B$2:$B$365,A10)</x:f>
        <x:v>18</x:v>
      </x:c>
      <x:c r="D10" s="10" t="n">
        <x:f>IFERROR(C10/B10,"")</x:f>
        <x:v>0.013824884792626729</x:v>
      </x:c>
      <x:c r="E10" s="10" t="n">
        <x:f>IFERROR(SUMIFS('Route source'!$G$2:$G$365,'Route source'!$A$2:$A$365,Dashboard!$B$5,'Route source'!$B$2:$B$365,A10)/SUMIFS('Route source'!$E$2:$E$365,'Route source'!$A$2:$A$365,Dashboard!$B$5,'Route source'!$B$2:$B$365,A10),"")</x:f>
        <x:v>0.8317757009345794</x:v>
      </x:c>
      <x:c r="F10" s="7" t="n">
        <x:f>SUMIFS('Route source'!$H$2:$H$365,'Route source'!$A$2:$A$365,Dashboard!$B$5,'Route source'!$B$2:$B$365,A10)</x:f>
        <x:v>216</x:v>
      </x:c>
      <x:c r="G10" s="1" t="n">
        <x:f>SUMIFS('Route source'!$C$2:$C$365,'Route source'!$A$2:$A$365,Dashboard!$B$5,'Route source'!$B$2:$B$365,A10)</x:f>
        <x:v>12</x:v>
      </x:c>
      <x:c r="H10" s="1" t="n">
        <x:f>RANK(C10,$C$7:$C$134,0)</x:f>
        <x:v>84</x:v>
      </x:c>
    </x:row>
    <x:row r="11" ht="23" customHeight="1">
      <x:c r="A11" s="1" t="str">
        <x:v>Adelaide-Darwin</x:v>
      </x:c>
      <x:c r="B11" s="7" t="n">
        <x:f>SUMIFS('Route source'!$D$2:$D$365,'Route source'!$A$2:$A$365,Dashboard!$B$5,'Route source'!$B$2:$B$365,A11)</x:f>
        <x:v>0</x:v>
      </x:c>
      <x:c r="C11" s="7" t="n">
        <x:f>SUMIFS('Route source'!$F$2:$F$365,'Route source'!$A$2:$A$365,Dashboard!$B$5,'Route source'!$B$2:$B$365,A11)</x:f>
        <x:v>0</x:v>
      </x:c>
      <x:c r="D11" s="10" t="str">
        <x:f>IFERROR(C11/B11,"")</x:f>
      </x:c>
      <x:c r="E11" s="10" t="str">
        <x:f>IFERROR(SUMIFS('Route source'!$G$2:$G$365,'Route source'!$A$2:$A$365,Dashboard!$B$5,'Route source'!$B$2:$B$365,A11)/SUMIFS('Route source'!$E$2:$E$365,'Route source'!$A$2:$A$365,Dashboard!$B$5,'Route source'!$B$2:$B$365,A11),"")</x:f>
      </x:c>
      <x:c r="F11" s="7" t="n">
        <x:f>SUMIFS('Route source'!$H$2:$H$365,'Route source'!$A$2:$A$365,Dashboard!$B$5,'Route source'!$B$2:$B$365,A11)</x:f>
        <x:v>0</x:v>
      </x:c>
      <x:c r="G11" s="1" t="n">
        <x:f>SUMIFS('Route source'!$C$2:$C$365,'Route source'!$A$2:$A$365,Dashboard!$B$5,'Route source'!$B$2:$B$365,A11)</x:f>
        <x:v>0</x:v>
      </x:c>
      <x:c r="H11" s="1" t="n">
        <x:f>RANK(C11,$C$7:$C$134,0)</x:f>
        <x:v>120</x:v>
      </x:c>
    </x:row>
    <x:row r="12" ht="23" customHeight="1">
      <x:c r="A12" s="1" t="str">
        <x:v>Adelaide-Gold Coast</x:v>
      </x:c>
      <x:c r="B12" s="7" t="n">
        <x:f>SUMIFS('Route source'!$D$2:$D$365,'Route source'!$A$2:$A$365,Dashboard!$B$5,'Route source'!$B$2:$B$365,A12)</x:f>
        <x:v>779</x:v>
      </x:c>
      <x:c r="C12" s="7" t="n">
        <x:f>SUMIFS('Route source'!$F$2:$F$365,'Route source'!$A$2:$A$365,Dashboard!$B$5,'Route source'!$B$2:$B$365,A12)</x:f>
        <x:v>9</x:v>
      </x:c>
      <x:c r="D12" s="10" t="n">
        <x:f>IFERROR(C12/B12,"")</x:f>
        <x:v>0.011553273427471117</x:v>
      </x:c>
      <x:c r="E12" s="10" t="n">
        <x:f>IFERROR(SUMIFS('Route source'!$G$2:$G$365,'Route source'!$A$2:$A$365,Dashboard!$B$5,'Route source'!$B$2:$B$365,A12)/SUMIFS('Route source'!$E$2:$E$365,'Route source'!$A$2:$A$365,Dashboard!$B$5,'Route source'!$B$2:$B$365,A12),"")</x:f>
        <x:v>0.8467532467532467</x:v>
      </x:c>
      <x:c r="F12" s="7" t="n">
        <x:f>SUMIFS('Route source'!$H$2:$H$365,'Route source'!$A$2:$A$365,Dashboard!$B$5,'Route source'!$B$2:$B$365,A12)</x:f>
        <x:v>118</x:v>
      </x:c>
      <x:c r="G12" s="1" t="n">
        <x:f>SUMIFS('Route source'!$C$2:$C$365,'Route source'!$A$2:$A$365,Dashboard!$B$5,'Route source'!$B$2:$B$365,A12)</x:f>
        <x:v>12</x:v>
      </x:c>
      <x:c r="H12" s="1" t="n">
        <x:f>RANK(C12,$C$7:$C$134,0)</x:f>
        <x:v>98</x:v>
      </x:c>
    </x:row>
    <x:row r="13" ht="23" customHeight="1">
      <x:c r="A13" s="1" t="str">
        <x:v>Adelaide-Melbourne</x:v>
      </x:c>
      <x:c r="B13" s="7" t="n">
        <x:f>SUMIFS('Route source'!$D$2:$D$365,'Route source'!$A$2:$A$365,Dashboard!$B$5,'Route source'!$B$2:$B$365,A13)</x:f>
        <x:v>8159</x:v>
      </x:c>
      <x:c r="C13" s="7" t="n">
        <x:f>SUMIFS('Route source'!$F$2:$F$365,'Route source'!$A$2:$A$365,Dashboard!$B$5,'Route source'!$B$2:$B$365,A13)</x:f>
        <x:v>112</x:v>
      </x:c>
      <x:c r="D13" s="10" t="n">
        <x:f>IFERROR(C13/B13,"")</x:f>
        <x:v>0.013727172447603873</x:v>
      </x:c>
      <x:c r="E13" s="10" t="n">
        <x:f>IFERROR(SUMIFS('Route source'!$G$2:$G$365,'Route source'!$A$2:$A$365,Dashboard!$B$5,'Route source'!$B$2:$B$365,A13)/SUMIFS('Route source'!$E$2:$E$365,'Route source'!$A$2:$A$365,Dashboard!$B$5,'Route source'!$B$2:$B$365,A13),"")</x:f>
        <x:v>0.7812849509133839</x:v>
      </x:c>
      <x:c r="F13" s="7" t="n">
        <x:f>SUMIFS('Route source'!$H$2:$H$365,'Route source'!$A$2:$A$365,Dashboard!$B$5,'Route source'!$B$2:$B$365,A13)</x:f>
        <x:v>1760</x:v>
      </x:c>
      <x:c r="G13" s="1" t="n">
        <x:f>SUMIFS('Route source'!$C$2:$C$365,'Route source'!$A$2:$A$365,Dashboard!$B$5,'Route source'!$B$2:$B$365,A13)</x:f>
        <x:v>12</x:v>
      </x:c>
      <x:c r="H13" s="1" t="n">
        <x:f>RANK(C13,$C$7:$C$134,0)</x:f>
        <x:v>19</x:v>
      </x:c>
    </x:row>
    <x:row r="14" ht="23" customHeight="1">
      <x:c r="A14" s="1" t="str">
        <x:v>Adelaide-Perth</x:v>
      </x:c>
      <x:c r="B14" s="7" t="n">
        <x:f>SUMIFS('Route source'!$D$2:$D$365,'Route source'!$A$2:$A$365,Dashboard!$B$5,'Route source'!$B$2:$B$365,A14)</x:f>
        <x:v>2288</x:v>
      </x:c>
      <x:c r="C14" s="7" t="n">
        <x:f>SUMIFS('Route source'!$F$2:$F$365,'Route source'!$A$2:$A$365,Dashboard!$B$5,'Route source'!$B$2:$B$365,A14)</x:f>
        <x:v>13</x:v>
      </x:c>
      <x:c r="D14" s="10" t="n">
        <x:f>IFERROR(C14/B14,"")</x:f>
        <x:v>0.005681818181818182</x:v>
      </x:c>
      <x:c r="E14" s="10" t="n">
        <x:f>IFERROR(SUMIFS('Route source'!$G$2:$G$365,'Route source'!$A$2:$A$365,Dashboard!$B$5,'Route source'!$B$2:$B$365,A14)/SUMIFS('Route source'!$E$2:$E$365,'Route source'!$A$2:$A$365,Dashboard!$B$5,'Route source'!$B$2:$B$365,A14),"")</x:f>
        <x:v>0.7613186813186813</x:v>
      </x:c>
      <x:c r="F14" s="7" t="n">
        <x:f>SUMIFS('Route source'!$H$2:$H$365,'Route source'!$A$2:$A$365,Dashboard!$B$5,'Route source'!$B$2:$B$365,A14)</x:f>
        <x:v>543</x:v>
      </x:c>
      <x:c r="G14" s="1" t="n">
        <x:f>SUMIFS('Route source'!$C$2:$C$365,'Route source'!$A$2:$A$365,Dashboard!$B$5,'Route source'!$B$2:$B$365,A14)</x:f>
        <x:v>12</x:v>
      </x:c>
      <x:c r="H14" s="1" t="n">
        <x:f>RANK(C14,$C$7:$C$134,0)</x:f>
        <x:v>90</x:v>
      </x:c>
    </x:row>
    <x:row r="15" ht="23" customHeight="1">
      <x:c r="A15" s="1" t="str">
        <x:v>Adelaide-Port Lincoln</x:v>
      </x:c>
      <x:c r="B15" s="7" t="n">
        <x:f>SUMIFS('Route source'!$D$2:$D$365,'Route source'!$A$2:$A$365,Dashboard!$B$5,'Route source'!$B$2:$B$365,A15)</x:f>
        <x:v>2980</x:v>
      </x:c>
      <x:c r="C15" s="7" t="n">
        <x:f>SUMIFS('Route source'!$F$2:$F$365,'Route source'!$A$2:$A$365,Dashboard!$B$5,'Route source'!$B$2:$B$365,A15)</x:f>
        <x:v>122</x:v>
      </x:c>
      <x:c r="D15" s="10" t="n">
        <x:f>IFERROR(C15/B15,"")</x:f>
        <x:v>0.04093959731543624</x:v>
      </x:c>
      <x:c r="E15" s="10" t="n">
        <x:f>IFERROR(SUMIFS('Route source'!$G$2:$G$365,'Route source'!$A$2:$A$365,Dashboard!$B$5,'Route source'!$B$2:$B$365,A15)/SUMIFS('Route source'!$E$2:$E$365,'Route source'!$A$2:$A$365,Dashboard!$B$5,'Route source'!$B$2:$B$365,A15),"")</x:f>
        <x:v>0.7865640307907628</x:v>
      </x:c>
      <x:c r="F15" s="7" t="n">
        <x:f>SUMIFS('Route source'!$H$2:$H$365,'Route source'!$A$2:$A$365,Dashboard!$B$5,'Route source'!$B$2:$B$365,A15)</x:f>
        <x:v>610</x:v>
      </x:c>
      <x:c r="G15" s="1" t="n">
        <x:f>SUMIFS('Route source'!$C$2:$C$365,'Route source'!$A$2:$A$365,Dashboard!$B$5,'Route source'!$B$2:$B$365,A15)</x:f>
        <x:v>12</x:v>
      </x:c>
      <x:c r="H15" s="1" t="n">
        <x:f>RANK(C15,$C$7:$C$134,0)</x:f>
        <x:v>17</x:v>
      </x:c>
    </x:row>
    <x:row r="16" ht="23" customHeight="1">
      <x:c r="A16" s="1" t="str">
        <x:v>Adelaide-Sydney</x:v>
      </x:c>
      <x:c r="B16" s="7" t="n">
        <x:f>SUMIFS('Route source'!$D$2:$D$365,'Route source'!$A$2:$A$365,Dashboard!$B$5,'Route source'!$B$2:$B$365,A16)</x:f>
        <x:v>6630</x:v>
      </x:c>
      <x:c r="C16" s="7" t="n">
        <x:f>SUMIFS('Route source'!$F$2:$F$365,'Route source'!$A$2:$A$365,Dashboard!$B$5,'Route source'!$B$2:$B$365,A16)</x:f>
        <x:v>169</x:v>
      </x:c>
      <x:c r="D16" s="10" t="n">
        <x:f>IFERROR(C16/B16,"")</x:f>
        <x:v>0.025490196078431372</x:v>
      </x:c>
      <x:c r="E16" s="10" t="n">
        <x:f>IFERROR(SUMIFS('Route source'!$G$2:$G$365,'Route source'!$A$2:$A$365,Dashboard!$B$5,'Route source'!$B$2:$B$365,A16)/SUMIFS('Route source'!$E$2:$E$365,'Route source'!$A$2:$A$365,Dashboard!$B$5,'Route source'!$B$2:$B$365,A16),"")</x:f>
        <x:v>0.7435381519888562</x:v>
      </x:c>
      <x:c r="F16" s="7" t="n">
        <x:f>SUMIFS('Route source'!$H$2:$H$365,'Route source'!$A$2:$A$365,Dashboard!$B$5,'Route source'!$B$2:$B$365,A16)</x:f>
        <x:v>1657</x:v>
      </x:c>
      <x:c r="G16" s="1" t="n">
        <x:f>SUMIFS('Route source'!$C$2:$C$365,'Route source'!$A$2:$A$365,Dashboard!$B$5,'Route source'!$B$2:$B$365,A16)</x:f>
        <x:v>12</x:v>
      </x:c>
      <x:c r="H16" s="1" t="n">
        <x:f>RANK(C16,$C$7:$C$134,0)</x:f>
        <x:v>9</x:v>
      </x:c>
    </x:row>
    <x:row r="17" ht="23" customHeight="1">
      <x:c r="A17" s="1" t="str">
        <x:v>Albury-Sydney</x:v>
      </x:c>
      <x:c r="B17" s="7" t="n">
        <x:f>SUMIFS('Route source'!$D$2:$D$365,'Route source'!$A$2:$A$365,Dashboard!$B$5,'Route source'!$B$2:$B$365,A17)</x:f>
        <x:v>1918</x:v>
      </x:c>
      <x:c r="C17" s="7" t="n">
        <x:f>SUMIFS('Route source'!$F$2:$F$365,'Route source'!$A$2:$A$365,Dashboard!$B$5,'Route source'!$B$2:$B$365,A17)</x:f>
        <x:v>34</x:v>
      </x:c>
      <x:c r="D17" s="10" t="n">
        <x:f>IFERROR(C17/B17,"")</x:f>
        <x:v>0.017726798748696558</x:v>
      </x:c>
      <x:c r="E17" s="10" t="n">
        <x:f>IFERROR(SUMIFS('Route source'!$G$2:$G$365,'Route source'!$A$2:$A$365,Dashboard!$B$5,'Route source'!$B$2:$B$365,A17)/SUMIFS('Route source'!$E$2:$E$365,'Route source'!$A$2:$A$365,Dashboard!$B$5,'Route source'!$B$2:$B$365,A17),"")</x:f>
        <x:v>0.7892781316348195</x:v>
      </x:c>
      <x:c r="F17" s="7" t="n">
        <x:f>SUMIFS('Route source'!$H$2:$H$365,'Route source'!$A$2:$A$365,Dashboard!$B$5,'Route source'!$B$2:$B$365,A17)</x:f>
        <x:v>397</x:v>
      </x:c>
      <x:c r="G17" s="1" t="n">
        <x:f>SUMIFS('Route source'!$C$2:$C$365,'Route source'!$A$2:$A$365,Dashboard!$B$5,'Route source'!$B$2:$B$365,A17)</x:f>
        <x:v>12</x:v>
      </x:c>
      <x:c r="H17" s="1" t="n">
        <x:f>RANK(C17,$C$7:$C$134,0)</x:f>
        <x:v>71</x:v>
      </x:c>
    </x:row>
    <x:row r="18" ht="23" customHeight="1">
      <x:c r="A18" s="1" t="str">
        <x:v>Alice Springs-Adelaide</x:v>
      </x:c>
      <x:c r="B18" s="7" t="n">
        <x:f>SUMIFS('Route source'!$D$2:$D$365,'Route source'!$A$2:$A$365,Dashboard!$B$5,'Route source'!$B$2:$B$365,A18)</x:f>
        <x:v>617</x:v>
      </x:c>
      <x:c r="C18" s="7" t="n">
        <x:f>SUMIFS('Route source'!$F$2:$F$365,'Route source'!$A$2:$A$365,Dashboard!$B$5,'Route source'!$B$2:$B$365,A18)</x:f>
        <x:v>7</x:v>
      </x:c>
      <x:c r="D18" s="10" t="n">
        <x:f>IFERROR(C18/B18,"")</x:f>
        <x:v>0.011345218800648298</x:v>
      </x:c>
      <x:c r="E18" s="10" t="n">
        <x:f>IFERROR(SUMIFS('Route source'!$G$2:$G$365,'Route source'!$A$2:$A$365,Dashboard!$B$5,'Route source'!$B$2:$B$365,A18)/SUMIFS('Route source'!$E$2:$E$365,'Route source'!$A$2:$A$365,Dashboard!$B$5,'Route source'!$B$2:$B$365,A18),"")</x:f>
        <x:v>0.7459016393442623</x:v>
      </x:c>
      <x:c r="F18" s="7" t="n">
        <x:f>SUMIFS('Route source'!$H$2:$H$365,'Route source'!$A$2:$A$365,Dashboard!$B$5,'Route source'!$B$2:$B$365,A18)</x:f>
        <x:v>155</x:v>
      </x:c>
      <x:c r="G18" s="1" t="n">
        <x:f>SUMIFS('Route source'!$C$2:$C$365,'Route source'!$A$2:$A$365,Dashboard!$B$5,'Route source'!$B$2:$B$365,A18)</x:f>
        <x:v>12</x:v>
      </x:c>
      <x:c r="H18" s="1" t="n">
        <x:f>RANK(C18,$C$7:$C$134,0)</x:f>
        <x:v>108</x:v>
      </x:c>
    </x:row>
    <x:row r="19" ht="23" customHeight="1">
      <x:c r="A19" s="1" t="str">
        <x:v>Armidale-Sydney</x:v>
      </x:c>
      <x:c r="B19" s="7" t="n">
        <x:f>SUMIFS('Route source'!$D$2:$D$365,'Route source'!$A$2:$A$365,Dashboard!$B$5,'Route source'!$B$2:$B$365,A19)</x:f>
        <x:v>0</x:v>
      </x:c>
      <x:c r="C19" s="7" t="n">
        <x:f>SUMIFS('Route source'!$F$2:$F$365,'Route source'!$A$2:$A$365,Dashboard!$B$5,'Route source'!$B$2:$B$365,A19)</x:f>
        <x:v>0</x:v>
      </x:c>
      <x:c r="D19" s="10" t="str">
        <x:f>IFERROR(C19/B19,"")</x:f>
      </x:c>
      <x:c r="E19" s="10" t="str">
        <x:f>IFERROR(SUMIFS('Route source'!$G$2:$G$365,'Route source'!$A$2:$A$365,Dashboard!$B$5,'Route source'!$B$2:$B$365,A19)/SUMIFS('Route source'!$E$2:$E$365,'Route source'!$A$2:$A$365,Dashboard!$B$5,'Route source'!$B$2:$B$365,A19),"")</x:f>
      </x:c>
      <x:c r="F19" s="7" t="n">
        <x:f>SUMIFS('Route source'!$H$2:$H$365,'Route source'!$A$2:$A$365,Dashboard!$B$5,'Route source'!$B$2:$B$365,A19)</x:f>
        <x:v>0</x:v>
      </x:c>
      <x:c r="G19" s="1" t="n">
        <x:f>SUMIFS('Route source'!$C$2:$C$365,'Route source'!$A$2:$A$365,Dashboard!$B$5,'Route source'!$B$2:$B$365,A19)</x:f>
        <x:v>0</x:v>
      </x:c>
      <x:c r="H19" s="1" t="n">
        <x:f>RANK(C19,$C$7:$C$134,0)</x:f>
        <x:v>120</x:v>
      </x:c>
    </x:row>
    <x:row r="20" ht="23" customHeight="1">
      <x:c r="A20" s="1" t="str">
        <x:v>Ayers Rock-Melbourne</x:v>
      </x:c>
      <x:c r="B20" s="7" t="n">
        <x:f>SUMIFS('Route source'!$D$2:$D$365,'Route source'!$A$2:$A$365,Dashboard!$B$5,'Route source'!$B$2:$B$365,A20)</x:f>
        <x:v>342</x:v>
      </x:c>
      <x:c r="C20" s="7" t="n">
        <x:f>SUMIFS('Route source'!$F$2:$F$365,'Route source'!$A$2:$A$365,Dashboard!$B$5,'Route source'!$B$2:$B$365,A20)</x:f>
        <x:v>1</x:v>
      </x:c>
      <x:c r="D20" s="10" t="n">
        <x:f>IFERROR(C20/B20,"")</x:f>
        <x:v>0.0029239766081871343</x:v>
      </x:c>
      <x:c r="E20" s="10" t="n">
        <x:f>IFERROR(SUMIFS('Route source'!$G$2:$G$365,'Route source'!$A$2:$A$365,Dashboard!$B$5,'Route source'!$B$2:$B$365,A20)/SUMIFS('Route source'!$E$2:$E$365,'Route source'!$A$2:$A$365,Dashboard!$B$5,'Route source'!$B$2:$B$365,A20),"")</x:f>
        <x:v>0.8973607038123167</x:v>
      </x:c>
      <x:c r="F20" s="7" t="n">
        <x:f>SUMIFS('Route source'!$H$2:$H$365,'Route source'!$A$2:$A$365,Dashboard!$B$5,'Route source'!$B$2:$B$365,A20)</x:f>
        <x:v>35</x:v>
      </x:c>
      <x:c r="G20" s="1" t="n">
        <x:f>SUMIFS('Route source'!$C$2:$C$365,'Route source'!$A$2:$A$365,Dashboard!$B$5,'Route source'!$B$2:$B$365,A20)</x:f>
        <x:v>11</x:v>
      </x:c>
      <x:c r="H20" s="1" t="n">
        <x:f>RANK(C20,$C$7:$C$134,0)</x:f>
        <x:v>117</x:v>
      </x:c>
    </x:row>
    <x:row r="21" ht="23" customHeight="1">
      <x:c r="A21" s="1" t="str">
        <x:v>Ballina-Sydney</x:v>
      </x:c>
      <x:c r="B21" s="7" t="n">
        <x:f>SUMIFS('Route source'!$D$2:$D$365,'Route source'!$A$2:$A$365,Dashboard!$B$5,'Route source'!$B$2:$B$365,A21)</x:f>
        <x:v>1791</x:v>
      </x:c>
      <x:c r="C21" s="7" t="n">
        <x:f>SUMIFS('Route source'!$F$2:$F$365,'Route source'!$A$2:$A$365,Dashboard!$B$5,'Route source'!$B$2:$B$365,A21)</x:f>
        <x:v>51</x:v>
      </x:c>
      <x:c r="D21" s="10" t="n">
        <x:f>IFERROR(C21/B21,"")</x:f>
        <x:v>0.02847571189279732</x:v>
      </x:c>
      <x:c r="E21" s="10" t="n">
        <x:f>IFERROR(SUMIFS('Route source'!$G$2:$G$365,'Route source'!$A$2:$A$365,Dashboard!$B$5,'Route source'!$B$2:$B$365,A21)/SUMIFS('Route source'!$E$2:$E$365,'Route source'!$A$2:$A$365,Dashboard!$B$5,'Route source'!$B$2:$B$365,A21),"")</x:f>
        <x:v>0.7574712643678161</x:v>
      </x:c>
      <x:c r="F21" s="7" t="n">
        <x:f>SUMIFS('Route source'!$H$2:$H$365,'Route source'!$A$2:$A$365,Dashboard!$B$5,'Route source'!$B$2:$B$365,A21)</x:f>
        <x:v>422</x:v>
      </x:c>
      <x:c r="G21" s="1" t="n">
        <x:f>SUMIFS('Route source'!$C$2:$C$365,'Route source'!$A$2:$A$365,Dashboard!$B$5,'Route source'!$B$2:$B$365,A21)</x:f>
        <x:v>12</x:v>
      </x:c>
      <x:c r="H21" s="1" t="n">
        <x:f>RANK(C21,$C$7:$C$134,0)</x:f>
        <x:v>61</x:v>
      </x:c>
    </x:row>
    <x:row r="22" ht="23" customHeight="1">
      <x:c r="A22" s="1" t="str">
        <x:v>Brisbane-Adelaide</x:v>
      </x:c>
      <x:c r="B22" s="7" t="n">
        <x:f>SUMIFS('Route source'!$D$2:$D$365,'Route source'!$A$2:$A$365,Dashboard!$B$5,'Route source'!$B$2:$B$365,A22)</x:f>
        <x:v>3964</x:v>
      </x:c>
      <x:c r="C22" s="7" t="n">
        <x:f>SUMIFS('Route source'!$F$2:$F$365,'Route source'!$A$2:$A$365,Dashboard!$B$5,'Route source'!$B$2:$B$365,A22)</x:f>
        <x:v>77</x:v>
      </x:c>
      <x:c r="D22" s="10" t="n">
        <x:f>IFERROR(C22/B22,"")</x:f>
        <x:v>0.019424823410696266</x:v>
      </x:c>
      <x:c r="E22" s="10" t="n">
        <x:f>IFERROR(SUMIFS('Route source'!$G$2:$G$365,'Route source'!$A$2:$A$365,Dashboard!$B$5,'Route source'!$B$2:$B$365,A22)/SUMIFS('Route source'!$E$2:$E$365,'Route source'!$A$2:$A$365,Dashboard!$B$5,'Route source'!$B$2:$B$365,A22),"")</x:f>
        <x:v>0.7409313094931824</x:v>
      </x:c>
      <x:c r="F22" s="7" t="n">
        <x:f>SUMIFS('Route source'!$H$2:$H$365,'Route source'!$A$2:$A$365,Dashboard!$B$5,'Route source'!$B$2:$B$365,A22)</x:f>
        <x:v>1007</x:v>
      </x:c>
      <x:c r="G22" s="1" t="n">
        <x:f>SUMIFS('Route source'!$C$2:$C$365,'Route source'!$A$2:$A$365,Dashboard!$B$5,'Route source'!$B$2:$B$365,A22)</x:f>
        <x:v>12</x:v>
      </x:c>
      <x:c r="H22" s="1" t="n">
        <x:f>RANK(C22,$C$7:$C$134,0)</x:f>
        <x:v>36</x:v>
      </x:c>
    </x:row>
    <x:row r="23" ht="23" customHeight="1">
      <x:c r="A23" s="1" t="str">
        <x:v>Brisbane-Cairns</x:v>
      </x:c>
      <x:c r="B23" s="7" t="n">
        <x:f>SUMIFS('Route source'!$D$2:$D$365,'Route source'!$A$2:$A$365,Dashboard!$B$5,'Route source'!$B$2:$B$365,A23)</x:f>
        <x:v>5213</x:v>
      </x:c>
      <x:c r="C23" s="7" t="n">
        <x:f>SUMIFS('Route source'!$F$2:$F$365,'Route source'!$A$2:$A$365,Dashboard!$B$5,'Route source'!$B$2:$B$365,A23)</x:f>
        <x:v>54</x:v>
      </x:c>
      <x:c r="D23" s="10" t="n">
        <x:f>IFERROR(C23/B23,"")</x:f>
        <x:v>0.010358718588145022</x:v>
      </x:c>
      <x:c r="E23" s="10" t="n">
        <x:f>IFERROR(SUMIFS('Route source'!$G$2:$G$365,'Route source'!$A$2:$A$365,Dashboard!$B$5,'Route source'!$B$2:$B$365,A23)/SUMIFS('Route source'!$E$2:$E$365,'Route source'!$A$2:$A$365,Dashboard!$B$5,'Route source'!$B$2:$B$365,A23),"")</x:f>
        <x:v>0.7608063578212831</x:v>
      </x:c>
      <x:c r="F23" s="7" t="n">
        <x:f>SUMIFS('Route source'!$H$2:$H$365,'Route source'!$A$2:$A$365,Dashboard!$B$5,'Route source'!$B$2:$B$365,A23)</x:f>
        <x:v>1234</x:v>
      </x:c>
      <x:c r="G23" s="1" t="n">
        <x:f>SUMIFS('Route source'!$C$2:$C$365,'Route source'!$A$2:$A$365,Dashboard!$B$5,'Route source'!$B$2:$B$365,A23)</x:f>
        <x:v>12</x:v>
      </x:c>
      <x:c r="H23" s="1" t="n">
        <x:f>RANK(C23,$C$7:$C$134,0)</x:f>
        <x:v>54</x:v>
      </x:c>
    </x:row>
    <x:row r="24" ht="23" customHeight="1">
      <x:c r="A24" s="1" t="str">
        <x:v>Brisbane-Canberra</x:v>
      </x:c>
      <x:c r="B24" s="7" t="n">
        <x:f>SUMIFS('Route source'!$D$2:$D$365,'Route source'!$A$2:$A$365,Dashboard!$B$5,'Route source'!$B$2:$B$365,A24)</x:f>
        <x:v>3559</x:v>
      </x:c>
      <x:c r="C24" s="7" t="n">
        <x:f>SUMIFS('Route source'!$F$2:$F$365,'Route source'!$A$2:$A$365,Dashboard!$B$5,'Route source'!$B$2:$B$365,A24)</x:f>
        <x:v>85</x:v>
      </x:c>
      <x:c r="D24" s="10" t="n">
        <x:f>IFERROR(C24/B24,"")</x:f>
        <x:v>0.02388311323405451</x:v>
      </x:c>
      <x:c r="E24" s="10" t="n">
        <x:f>IFERROR(SUMIFS('Route source'!$G$2:$G$365,'Route source'!$A$2:$A$365,Dashboard!$B$5,'Route source'!$B$2:$B$365,A24)/SUMIFS('Route source'!$E$2:$E$365,'Route source'!$A$2:$A$365,Dashboard!$B$5,'Route source'!$B$2:$B$365,A24),"")</x:f>
        <x:v>0.7789291882556131</x:v>
      </x:c>
      <x:c r="F24" s="7" t="n">
        <x:f>SUMIFS('Route source'!$H$2:$H$365,'Route source'!$A$2:$A$365,Dashboard!$B$5,'Route source'!$B$2:$B$365,A24)</x:f>
        <x:v>768</x:v>
      </x:c>
      <x:c r="G24" s="1" t="n">
        <x:f>SUMIFS('Route source'!$C$2:$C$365,'Route source'!$A$2:$A$365,Dashboard!$B$5,'Route source'!$B$2:$B$365,A24)</x:f>
        <x:v>12</x:v>
      </x:c>
      <x:c r="H24" s="1" t="n">
        <x:f>RANK(C24,$C$7:$C$134,0)</x:f>
        <x:v>29</x:v>
      </x:c>
    </x:row>
    <x:row r="25" ht="23" customHeight="1">
      <x:c r="A25" s="1" t="str">
        <x:v>Brisbane-Darwin</x:v>
      </x:c>
      <x:c r="B25" s="7" t="n">
        <x:f>SUMIFS('Route source'!$D$2:$D$365,'Route source'!$A$2:$A$365,Dashboard!$B$5,'Route source'!$B$2:$B$365,A25)</x:f>
        <x:v>1246</x:v>
      </x:c>
      <x:c r="C25" s="7" t="n">
        <x:f>SUMIFS('Route source'!$F$2:$F$365,'Route source'!$A$2:$A$365,Dashboard!$B$5,'Route source'!$B$2:$B$365,A25)</x:f>
        <x:v>13</x:v>
      </x:c>
      <x:c r="D25" s="10" t="n">
        <x:f>IFERROR(C25/B25,"")</x:f>
        <x:v>0.01043338683788122</x:v>
      </x:c>
      <x:c r="E25" s="10" t="n">
        <x:f>IFERROR(SUMIFS('Route source'!$G$2:$G$365,'Route source'!$A$2:$A$365,Dashboard!$B$5,'Route source'!$B$2:$B$365,A25)/SUMIFS('Route source'!$E$2:$E$365,'Route source'!$A$2:$A$365,Dashboard!$B$5,'Route source'!$B$2:$B$365,A25),"")</x:f>
        <x:v>0.8167072181670721</x:v>
      </x:c>
      <x:c r="F25" s="7" t="n">
        <x:f>SUMIFS('Route source'!$H$2:$H$365,'Route source'!$A$2:$A$365,Dashboard!$B$5,'Route source'!$B$2:$B$365,A25)</x:f>
        <x:v>226</x:v>
      </x:c>
      <x:c r="G25" s="1" t="n">
        <x:f>SUMIFS('Route source'!$C$2:$C$365,'Route source'!$A$2:$A$365,Dashboard!$B$5,'Route source'!$B$2:$B$365,A25)</x:f>
        <x:v>12</x:v>
      </x:c>
      <x:c r="H25" s="1" t="n">
        <x:f>RANK(C25,$C$7:$C$134,0)</x:f>
        <x:v>90</x:v>
      </x:c>
    </x:row>
    <x:row r="26" ht="23" customHeight="1">
      <x:c r="A26" s="1" t="str">
        <x:v>Brisbane-Emerald</x:v>
      </x:c>
      <x:c r="B26" s="7" t="n">
        <x:f>SUMIFS('Route source'!$D$2:$D$365,'Route source'!$A$2:$A$365,Dashboard!$B$5,'Route source'!$B$2:$B$365,A26)</x:f>
        <x:v>1730</x:v>
      </x:c>
      <x:c r="C26" s="7" t="n">
        <x:f>SUMIFS('Route source'!$F$2:$F$365,'Route source'!$A$2:$A$365,Dashboard!$B$5,'Route source'!$B$2:$B$365,A26)</x:f>
        <x:v>52</x:v>
      </x:c>
      <x:c r="D26" s="10" t="n">
        <x:f>IFERROR(C26/B26,"")</x:f>
        <x:v>0.03005780346820809</x:v>
      </x:c>
      <x:c r="E26" s="10" t="n">
        <x:f>IFERROR(SUMIFS('Route source'!$G$2:$G$365,'Route source'!$A$2:$A$365,Dashboard!$B$5,'Route source'!$B$2:$B$365,A26)/SUMIFS('Route source'!$E$2:$E$365,'Route source'!$A$2:$A$365,Dashboard!$B$5,'Route source'!$B$2:$B$365,A26),"")</x:f>
        <x:v>0.8623361144219309</x:v>
      </x:c>
      <x:c r="F26" s="7" t="n">
        <x:f>SUMIFS('Route source'!$H$2:$H$365,'Route source'!$A$2:$A$365,Dashboard!$B$5,'Route source'!$B$2:$B$365,A26)</x:f>
        <x:v>231</x:v>
      </x:c>
      <x:c r="G26" s="1" t="n">
        <x:f>SUMIFS('Route source'!$C$2:$C$365,'Route source'!$A$2:$A$365,Dashboard!$B$5,'Route source'!$B$2:$B$365,A26)</x:f>
        <x:v>12</x:v>
      </x:c>
      <x:c r="H26" s="1" t="n">
        <x:f>RANK(C26,$C$7:$C$134,0)</x:f>
        <x:v>60</x:v>
      </x:c>
    </x:row>
    <x:row r="27" ht="23" customHeight="1">
      <x:c r="A27" s="1" t="str">
        <x:v>Brisbane-Gladstone</x:v>
      </x:c>
      <x:c r="B27" s="7" t="n">
        <x:f>SUMIFS('Route source'!$D$2:$D$365,'Route source'!$A$2:$A$365,Dashboard!$B$5,'Route source'!$B$2:$B$365,A27)</x:f>
        <x:v>1929</x:v>
      </x:c>
      <x:c r="C27" s="7" t="n">
        <x:f>SUMIFS('Route source'!$F$2:$F$365,'Route source'!$A$2:$A$365,Dashboard!$B$5,'Route source'!$B$2:$B$365,A27)</x:f>
        <x:v>69</x:v>
      </x:c>
      <x:c r="D27" s="10" t="n">
        <x:f>IFERROR(C27/B27,"")</x:f>
        <x:v>0.03576982892690513</x:v>
      </x:c>
      <x:c r="E27" s="10" t="n">
        <x:f>IFERROR(SUMIFS('Route source'!$G$2:$G$365,'Route source'!$A$2:$A$365,Dashboard!$B$5,'Route source'!$B$2:$B$365,A27)/SUMIFS('Route source'!$E$2:$E$365,'Route source'!$A$2:$A$365,Dashboard!$B$5,'Route source'!$B$2:$B$365,A27),"")</x:f>
        <x:v>0.7989247311827957</x:v>
      </x:c>
      <x:c r="F27" s="7" t="n">
        <x:f>SUMIFS('Route source'!$H$2:$H$365,'Route source'!$A$2:$A$365,Dashboard!$B$5,'Route source'!$B$2:$B$365,A27)</x:f>
        <x:v>374</x:v>
      </x:c>
      <x:c r="G27" s="1" t="n">
        <x:f>SUMIFS('Route source'!$C$2:$C$365,'Route source'!$A$2:$A$365,Dashboard!$B$5,'Route source'!$B$2:$B$365,A27)</x:f>
        <x:v>12</x:v>
      </x:c>
      <x:c r="H27" s="1" t="n">
        <x:f>RANK(C27,$C$7:$C$134,0)</x:f>
        <x:v>42</x:v>
      </x:c>
    </x:row>
    <x:row r="28" ht="23" customHeight="1">
      <x:c r="A28" s="1" t="str">
        <x:v>Brisbane-Hamilton Island</x:v>
      </x:c>
      <x:c r="B28" s="7" t="n">
        <x:f>SUMIFS('Route source'!$D$2:$D$365,'Route source'!$A$2:$A$365,Dashboard!$B$5,'Route source'!$B$2:$B$365,A28)</x:f>
        <x:v>765</x:v>
      </x:c>
      <x:c r="C28" s="7" t="n">
        <x:f>SUMIFS('Route source'!$F$2:$F$365,'Route source'!$A$2:$A$365,Dashboard!$B$5,'Route source'!$B$2:$B$365,A28)</x:f>
        <x:v>8</x:v>
      </x:c>
      <x:c r="D28" s="10" t="n">
        <x:f>IFERROR(C28/B28,"")</x:f>
        <x:v>0.01045751633986928</x:v>
      </x:c>
      <x:c r="E28" s="10" t="n">
        <x:f>IFERROR(SUMIFS('Route source'!$G$2:$G$365,'Route source'!$A$2:$A$365,Dashboard!$B$5,'Route source'!$B$2:$B$365,A28)/SUMIFS('Route source'!$E$2:$E$365,'Route source'!$A$2:$A$365,Dashboard!$B$5,'Route source'!$B$2:$B$365,A28),"")</x:f>
        <x:v>0.8058124174372523</x:v>
      </x:c>
      <x:c r="F28" s="7" t="n">
        <x:f>SUMIFS('Route source'!$H$2:$H$365,'Route source'!$A$2:$A$365,Dashboard!$B$5,'Route source'!$B$2:$B$365,A28)</x:f>
        <x:v>147</x:v>
      </x:c>
      <x:c r="G28" s="1" t="n">
        <x:f>SUMIFS('Route source'!$C$2:$C$365,'Route source'!$A$2:$A$365,Dashboard!$B$5,'Route source'!$B$2:$B$365,A28)</x:f>
        <x:v>12</x:v>
      </x:c>
      <x:c r="H28" s="1" t="n">
        <x:f>RANK(C28,$C$7:$C$134,0)</x:f>
        <x:v>104</x:v>
      </x:c>
    </x:row>
    <x:row r="29" ht="23" customHeight="1">
      <x:c r="A29" s="1" t="str">
        <x:v>Brisbane-Hobart</x:v>
      </x:c>
      <x:c r="B29" s="7" t="n">
        <x:f>SUMIFS('Route source'!$D$2:$D$365,'Route source'!$A$2:$A$365,Dashboard!$B$5,'Route source'!$B$2:$B$365,A29)</x:f>
        <x:v>1109</x:v>
      </x:c>
      <x:c r="C29" s="7" t="n">
        <x:f>SUMIFS('Route source'!$F$2:$F$365,'Route source'!$A$2:$A$365,Dashboard!$B$5,'Route source'!$B$2:$B$365,A29)</x:f>
        <x:v>14</x:v>
      </x:c>
      <x:c r="D29" s="10" t="n">
        <x:f>IFERROR(C29/B29,"")</x:f>
        <x:v>0.012623985572587917</x:v>
      </x:c>
      <x:c r="E29" s="10" t="n">
        <x:f>IFERROR(SUMIFS('Route source'!$G$2:$G$365,'Route source'!$A$2:$A$365,Dashboard!$B$5,'Route source'!$B$2:$B$365,A29)/SUMIFS('Route source'!$E$2:$E$365,'Route source'!$A$2:$A$365,Dashboard!$B$5,'Route source'!$B$2:$B$365,A29),"")</x:f>
        <x:v>0.7534246575342466</x:v>
      </x:c>
      <x:c r="F29" s="7" t="n">
        <x:f>SUMIFS('Route source'!$H$2:$H$365,'Route source'!$A$2:$A$365,Dashboard!$B$5,'Route source'!$B$2:$B$365,A29)</x:f>
        <x:v>270</x:v>
      </x:c>
      <x:c r="G29" s="1" t="n">
        <x:f>SUMIFS('Route source'!$C$2:$C$365,'Route source'!$A$2:$A$365,Dashboard!$B$5,'Route source'!$B$2:$B$365,A29)</x:f>
        <x:v>12</x:v>
      </x:c>
      <x:c r="H29" s="1" t="n">
        <x:f>RANK(C29,$C$7:$C$134,0)</x:f>
        <x:v>89</x:v>
      </x:c>
    </x:row>
    <x:row r="30" ht="23" customHeight="1">
      <x:c r="A30" s="1" t="str">
        <x:v>Brisbane-Launceston</x:v>
      </x:c>
      <x:c r="B30" s="7" t="n">
        <x:f>SUMIFS('Route source'!$D$2:$D$365,'Route source'!$A$2:$A$365,Dashboard!$B$5,'Route source'!$B$2:$B$365,A30)</x:f>
        <x:v>488</x:v>
      </x:c>
      <x:c r="C30" s="7" t="n">
        <x:f>SUMIFS('Route source'!$F$2:$F$365,'Route source'!$A$2:$A$365,Dashboard!$B$5,'Route source'!$B$2:$B$365,A30)</x:f>
        <x:v>5</x:v>
      </x:c>
      <x:c r="D30" s="10" t="n">
        <x:f>IFERROR(C30/B30,"")</x:f>
        <x:v>0.010245901639344262</x:v>
      </x:c>
      <x:c r="E30" s="10" t="n">
        <x:f>IFERROR(SUMIFS('Route source'!$G$2:$G$365,'Route source'!$A$2:$A$365,Dashboard!$B$5,'Route source'!$B$2:$B$365,A30)/SUMIFS('Route source'!$E$2:$E$365,'Route source'!$A$2:$A$365,Dashboard!$B$5,'Route source'!$B$2:$B$365,A30),"")</x:f>
        <x:v>0.7639751552795031</x:v>
      </x:c>
      <x:c r="F30" s="7" t="n">
        <x:f>SUMIFS('Route source'!$H$2:$H$365,'Route source'!$A$2:$A$365,Dashboard!$B$5,'Route source'!$B$2:$B$365,A30)</x:f>
        <x:v>114</x:v>
      </x:c>
      <x:c r="G30" s="1" t="n">
        <x:f>SUMIFS('Route source'!$C$2:$C$365,'Route source'!$A$2:$A$365,Dashboard!$B$5,'Route source'!$B$2:$B$365,A30)</x:f>
        <x:v>12</x:v>
      </x:c>
      <x:c r="H30" s="1" t="n">
        <x:f>RANK(C30,$C$7:$C$134,0)</x:f>
        <x:v>112</x:v>
      </x:c>
    </x:row>
    <x:row r="31" ht="23" customHeight="1">
      <x:c r="A31" s="1" t="str">
        <x:v>Brisbane-Mackay</x:v>
      </x:c>
      <x:c r="B31" s="7" t="n">
        <x:f>SUMIFS('Route source'!$D$2:$D$365,'Route source'!$A$2:$A$365,Dashboard!$B$5,'Route source'!$B$2:$B$365,A31)</x:f>
        <x:v>3734</x:v>
      </x:c>
      <x:c r="C31" s="7" t="n">
        <x:f>SUMIFS('Route source'!$F$2:$F$365,'Route source'!$A$2:$A$365,Dashboard!$B$5,'Route source'!$B$2:$B$365,A31)</x:f>
        <x:v>102</x:v>
      </x:c>
      <x:c r="D31" s="10" t="n">
        <x:f>IFERROR(C31/B31,"")</x:f>
        <x:v>0.027316550615961437</x:v>
      </x:c>
      <x:c r="E31" s="10" t="n">
        <x:f>IFERROR(SUMIFS('Route source'!$G$2:$G$365,'Route source'!$A$2:$A$365,Dashboard!$B$5,'Route source'!$B$2:$B$365,A31)/SUMIFS('Route source'!$E$2:$E$365,'Route source'!$A$2:$A$365,Dashboard!$B$5,'Route source'!$B$2:$B$365,A31),"")</x:f>
        <x:v>0.7654185022026432</x:v>
      </x:c>
      <x:c r="F31" s="7" t="n">
        <x:f>SUMIFS('Route source'!$H$2:$H$365,'Route source'!$A$2:$A$365,Dashboard!$B$5,'Route source'!$B$2:$B$365,A31)</x:f>
        <x:v>852</x:v>
      </x:c>
      <x:c r="G31" s="1" t="n">
        <x:f>SUMIFS('Route source'!$C$2:$C$365,'Route source'!$A$2:$A$365,Dashboard!$B$5,'Route source'!$B$2:$B$365,A31)</x:f>
        <x:v>12</x:v>
      </x:c>
      <x:c r="H31" s="1" t="n">
        <x:f>RANK(C31,$C$7:$C$134,0)</x:f>
        <x:v>22</x:v>
      </x:c>
    </x:row>
    <x:row r="32" ht="23" customHeight="1">
      <x:c r="A32" s="1" t="str">
        <x:v>Brisbane-Melbourne</x:v>
      </x:c>
      <x:c r="B32" s="7" t="n">
        <x:f>SUMIFS('Route source'!$D$2:$D$365,'Route source'!$A$2:$A$365,Dashboard!$B$5,'Route source'!$B$2:$B$365,A32)</x:f>
        <x:v>12276</x:v>
      </x:c>
      <x:c r="C32" s="7" t="n">
        <x:f>SUMIFS('Route source'!$F$2:$F$365,'Route source'!$A$2:$A$365,Dashboard!$B$5,'Route source'!$B$2:$B$365,A32)</x:f>
        <x:v>419</x:v>
      </x:c>
      <x:c r="D32" s="10" t="n">
        <x:f>IFERROR(C32/B32,"")</x:f>
        <x:v>0.03413163897034865</x:v>
      </x:c>
      <x:c r="E32" s="10" t="n">
        <x:f>IFERROR(SUMIFS('Route source'!$G$2:$G$365,'Route source'!$A$2:$A$365,Dashboard!$B$5,'Route source'!$B$2:$B$365,A32)/SUMIFS('Route source'!$E$2:$E$365,'Route source'!$A$2:$A$365,Dashboard!$B$5,'Route source'!$B$2:$B$365,A32),"")</x:f>
        <x:v>0.6821287003457873</x:v>
      </x:c>
      <x:c r="F32" s="7" t="n">
        <x:f>SUMIFS('Route source'!$H$2:$H$365,'Route source'!$A$2:$A$365,Dashboard!$B$5,'Route source'!$B$2:$B$365,A32)</x:f>
        <x:v>3769</x:v>
      </x:c>
      <x:c r="G32" s="1" t="n">
        <x:f>SUMIFS('Route source'!$C$2:$C$365,'Route source'!$A$2:$A$365,Dashboard!$B$5,'Route source'!$B$2:$B$365,A32)</x:f>
        <x:v>12</x:v>
      </x:c>
      <x:c r="H32" s="1" t="n">
        <x:f>RANK(C32,$C$7:$C$134,0)</x:f>
        <x:v>8</x:v>
      </x:c>
    </x:row>
    <x:row r="33" ht="23" customHeight="1">
      <x:c r="A33" s="1" t="str">
        <x:v>Brisbane-Mount Isa</x:v>
      </x:c>
      <x:c r="B33" s="7" t="n">
        <x:f>SUMIFS('Route source'!$D$2:$D$365,'Route source'!$A$2:$A$365,Dashboard!$B$5,'Route source'!$B$2:$B$365,A33)</x:f>
        <x:v>969</x:v>
      </x:c>
      <x:c r="C33" s="7" t="n">
        <x:f>SUMIFS('Route source'!$F$2:$F$365,'Route source'!$A$2:$A$365,Dashboard!$B$5,'Route source'!$B$2:$B$365,A33)</x:f>
        <x:v>13</x:v>
      </x:c>
      <x:c r="D33" s="10" t="n">
        <x:f>IFERROR(C33/B33,"")</x:f>
        <x:v>0.013415892672858616</x:v>
      </x:c>
      <x:c r="E33" s="10" t="n">
        <x:f>IFERROR(SUMIFS('Route source'!$G$2:$G$365,'Route source'!$A$2:$A$365,Dashboard!$B$5,'Route source'!$B$2:$B$365,A33)/SUMIFS('Route source'!$E$2:$E$365,'Route source'!$A$2:$A$365,Dashboard!$B$5,'Route source'!$B$2:$B$365,A33),"")</x:f>
        <x:v>0.8148535564853556</x:v>
      </x:c>
      <x:c r="F33" s="7" t="n">
        <x:f>SUMIFS('Route source'!$H$2:$H$365,'Route source'!$A$2:$A$365,Dashboard!$B$5,'Route source'!$B$2:$B$365,A33)</x:f>
        <x:v>177</x:v>
      </x:c>
      <x:c r="G33" s="1" t="n">
        <x:f>SUMIFS('Route source'!$C$2:$C$365,'Route source'!$A$2:$A$365,Dashboard!$B$5,'Route source'!$B$2:$B$365,A33)</x:f>
        <x:v>12</x:v>
      </x:c>
      <x:c r="H33" s="1" t="n">
        <x:f>RANK(C33,$C$7:$C$134,0)</x:f>
        <x:v>90</x:v>
      </x:c>
    </x:row>
    <x:row r="34" ht="23" customHeight="1">
      <x:c r="A34" s="1" t="str">
        <x:v>Brisbane-Newcastle</x:v>
      </x:c>
      <x:c r="B34" s="7" t="n">
        <x:f>SUMIFS('Route source'!$D$2:$D$365,'Route source'!$A$2:$A$365,Dashboard!$B$5,'Route source'!$B$2:$B$365,A34)</x:f>
        <x:v>2651</x:v>
      </x:c>
      <x:c r="C34" s="7" t="n">
        <x:f>SUMIFS('Route source'!$F$2:$F$365,'Route source'!$A$2:$A$365,Dashboard!$B$5,'Route source'!$B$2:$B$365,A34)</x:f>
        <x:v>41</x:v>
      </x:c>
      <x:c r="D34" s="10" t="n">
        <x:f>IFERROR(C34/B34,"")</x:f>
        <x:v>0.015465861938890985</x:v>
      </x:c>
      <x:c r="E34" s="10" t="n">
        <x:f>IFERROR(SUMIFS('Route source'!$G$2:$G$365,'Route source'!$A$2:$A$365,Dashboard!$B$5,'Route source'!$B$2:$B$365,A34)/SUMIFS('Route source'!$E$2:$E$365,'Route source'!$A$2:$A$365,Dashboard!$B$5,'Route source'!$B$2:$B$365,A34),"")</x:f>
        <x:v>0.7567049808429118</x:v>
      </x:c>
      <x:c r="F34" s="7" t="n">
        <x:f>SUMIFS('Route source'!$H$2:$H$365,'Route source'!$A$2:$A$365,Dashboard!$B$5,'Route source'!$B$2:$B$365,A34)</x:f>
        <x:v>635</x:v>
      </x:c>
      <x:c r="G34" s="1" t="n">
        <x:f>SUMIFS('Route source'!$C$2:$C$365,'Route source'!$A$2:$A$365,Dashboard!$B$5,'Route source'!$B$2:$B$365,A34)</x:f>
        <x:v>12</x:v>
      </x:c>
      <x:c r="H34" s="1" t="n">
        <x:f>RANK(C34,$C$7:$C$134,0)</x:f>
        <x:v>67</x:v>
      </x:c>
    </x:row>
    <x:row r="35" ht="23" customHeight="1">
      <x:c r="A35" s="1" t="str">
        <x:v>Brisbane-Perth</x:v>
      </x:c>
      <x:c r="B35" s="7" t="n">
        <x:f>SUMIFS('Route source'!$D$2:$D$365,'Route source'!$A$2:$A$365,Dashboard!$B$5,'Route source'!$B$2:$B$365,A35)</x:f>
        <x:v>3817</x:v>
      </x:c>
      <x:c r="C35" s="7" t="n">
        <x:f>SUMIFS('Route source'!$F$2:$F$365,'Route source'!$A$2:$A$365,Dashboard!$B$5,'Route source'!$B$2:$B$365,A35)</x:f>
        <x:v>63</x:v>
      </x:c>
      <x:c r="D35" s="10" t="n">
        <x:f>IFERROR(C35/B35,"")</x:f>
        <x:v>0.016505108724128897</x:v>
      </x:c>
      <x:c r="E35" s="10" t="n">
        <x:f>IFERROR(SUMIFS('Route source'!$G$2:$G$365,'Route source'!$A$2:$A$365,Dashboard!$B$5,'Route source'!$B$2:$B$365,A35)/SUMIFS('Route source'!$E$2:$E$365,'Route source'!$A$2:$A$365,Dashboard!$B$5,'Route source'!$B$2:$B$365,A35),"")</x:f>
        <x:v>0.6654235482152371</x:v>
      </x:c>
      <x:c r="F35" s="7" t="n">
        <x:f>SUMIFS('Route source'!$H$2:$H$365,'Route source'!$A$2:$A$365,Dashboard!$B$5,'Route source'!$B$2:$B$365,A35)</x:f>
        <x:v>1256</x:v>
      </x:c>
      <x:c r="G35" s="1" t="n">
        <x:f>SUMIFS('Route source'!$C$2:$C$365,'Route source'!$A$2:$A$365,Dashboard!$B$5,'Route source'!$B$2:$B$365,A35)</x:f>
        <x:v>12</x:v>
      </x:c>
      <x:c r="H35" s="1" t="n">
        <x:f>RANK(C35,$C$7:$C$134,0)</x:f>
        <x:v>47</x:v>
      </x:c>
    </x:row>
    <x:row r="36" ht="23" customHeight="1">
      <x:c r="A36" s="1" t="str">
        <x:v>Brisbane-Proserpine</x:v>
      </x:c>
      <x:c r="B36" s="7" t="n">
        <x:f>SUMIFS('Route source'!$D$2:$D$365,'Route source'!$A$2:$A$365,Dashboard!$B$5,'Route source'!$B$2:$B$365,A36)</x:f>
        <x:v>996</x:v>
      </x:c>
      <x:c r="C36" s="7" t="n">
        <x:f>SUMIFS('Route source'!$F$2:$F$365,'Route source'!$A$2:$A$365,Dashboard!$B$5,'Route source'!$B$2:$B$365,A36)</x:f>
        <x:v>18</x:v>
      </x:c>
      <x:c r="D36" s="10" t="n">
        <x:f>IFERROR(C36/B36,"")</x:f>
        <x:v>0.018072289156626505</x:v>
      </x:c>
      <x:c r="E36" s="10" t="n">
        <x:f>IFERROR(SUMIFS('Route source'!$G$2:$G$365,'Route source'!$A$2:$A$365,Dashboard!$B$5,'Route source'!$B$2:$B$365,A36)/SUMIFS('Route source'!$E$2:$E$365,'Route source'!$A$2:$A$365,Dashboard!$B$5,'Route source'!$B$2:$B$365,A36),"")</x:f>
        <x:v>0.7331288343558282</x:v>
      </x:c>
      <x:c r="F36" s="7" t="n">
        <x:f>SUMIFS('Route source'!$H$2:$H$365,'Route source'!$A$2:$A$365,Dashboard!$B$5,'Route source'!$B$2:$B$365,A36)</x:f>
        <x:v>261</x:v>
      </x:c>
      <x:c r="G36" s="1" t="n">
        <x:f>SUMIFS('Route source'!$C$2:$C$365,'Route source'!$A$2:$A$365,Dashboard!$B$5,'Route source'!$B$2:$B$365,A36)</x:f>
        <x:v>12</x:v>
      </x:c>
      <x:c r="H36" s="1" t="n">
        <x:f>RANK(C36,$C$7:$C$134,0)</x:f>
        <x:v>84</x:v>
      </x:c>
    </x:row>
    <x:row r="37" ht="23" customHeight="1">
      <x:c r="A37" s="1" t="str">
        <x:v>Brisbane-Rockhampton</x:v>
      </x:c>
      <x:c r="B37" s="7" t="n">
        <x:f>SUMIFS('Route source'!$D$2:$D$365,'Route source'!$A$2:$A$365,Dashboard!$B$5,'Route source'!$B$2:$B$365,A37)</x:f>
        <x:v>3885</x:v>
      </x:c>
      <x:c r="C37" s="7" t="n">
        <x:f>SUMIFS('Route source'!$F$2:$F$365,'Route source'!$A$2:$A$365,Dashboard!$B$5,'Route source'!$B$2:$B$365,A37)</x:f>
        <x:v>53</x:v>
      </x:c>
      <x:c r="D37" s="10" t="n">
        <x:f>IFERROR(C37/B37,"")</x:f>
        <x:v>0.013642213642213642</x:v>
      </x:c>
      <x:c r="E37" s="10" t="n">
        <x:f>IFERROR(SUMIFS('Route source'!$G$2:$G$365,'Route source'!$A$2:$A$365,Dashboard!$B$5,'Route source'!$B$2:$B$365,A37)/SUMIFS('Route source'!$E$2:$E$365,'Route source'!$A$2:$A$365,Dashboard!$B$5,'Route source'!$B$2:$B$365,A37),"")</x:f>
        <x:v>0.7299060542797495</x:v>
      </x:c>
      <x:c r="F37" s="7" t="n">
        <x:f>SUMIFS('Route source'!$H$2:$H$365,'Route source'!$A$2:$A$365,Dashboard!$B$5,'Route source'!$B$2:$B$365,A37)</x:f>
        <x:v>1035</x:v>
      </x:c>
      <x:c r="G37" s="1" t="n">
        <x:f>SUMIFS('Route source'!$C$2:$C$365,'Route source'!$A$2:$A$365,Dashboard!$B$5,'Route source'!$B$2:$B$365,A37)</x:f>
        <x:v>12</x:v>
      </x:c>
      <x:c r="H37" s="1" t="n">
        <x:f>RANK(C37,$C$7:$C$134,0)</x:f>
        <x:v>58</x:v>
      </x:c>
    </x:row>
    <x:row r="38" ht="23" customHeight="1">
      <x:c r="A38" s="1" t="str">
        <x:v>Brisbane-Sydney</x:v>
      </x:c>
      <x:c r="B38" s="7" t="n">
        <x:f>SUMIFS('Route source'!$D$2:$D$365,'Route source'!$A$2:$A$365,Dashboard!$B$5,'Route source'!$B$2:$B$365,A38)</x:f>
        <x:v>14597</x:v>
      </x:c>
      <x:c r="C38" s="7" t="n">
        <x:f>SUMIFS('Route source'!$F$2:$F$365,'Route source'!$A$2:$A$365,Dashboard!$B$5,'Route source'!$B$2:$B$365,A38)</x:f>
        <x:v>496</x:v>
      </x:c>
      <x:c r="D38" s="10" t="n">
        <x:f>IFERROR(C38/B38,"")</x:f>
        <x:v>0.033979584846201276</x:v>
      </x:c>
      <x:c r="E38" s="10" t="n">
        <x:f>IFERROR(SUMIFS('Route source'!$G$2:$G$365,'Route source'!$A$2:$A$365,Dashboard!$B$5,'Route source'!$B$2:$B$365,A38)/SUMIFS('Route source'!$E$2:$E$365,'Route source'!$A$2:$A$365,Dashboard!$B$5,'Route source'!$B$2:$B$365,A38),"")</x:f>
        <x:v>0.7298773136656974</x:v>
      </x:c>
      <x:c r="F38" s="7" t="n">
        <x:f>SUMIFS('Route source'!$H$2:$H$365,'Route source'!$A$2:$A$365,Dashboard!$B$5,'Route source'!$B$2:$B$365,A38)</x:f>
        <x:v>3809</x:v>
      </x:c>
      <x:c r="G38" s="1" t="n">
        <x:f>SUMIFS('Route source'!$C$2:$C$365,'Route source'!$A$2:$A$365,Dashboard!$B$5,'Route source'!$B$2:$B$365,A38)</x:f>
        <x:v>12</x:v>
      </x:c>
      <x:c r="H38" s="1" t="n">
        <x:f>RANK(C38,$C$7:$C$134,0)</x:f>
        <x:v>3</x:v>
      </x:c>
    </x:row>
    <x:row r="39" ht="23" customHeight="1">
      <x:c r="A39" s="1" t="str">
        <x:v>Brisbane-Townsville</x:v>
      </x:c>
      <x:c r="B39" s="7" t="n">
        <x:f>SUMIFS('Route source'!$D$2:$D$365,'Route source'!$A$2:$A$365,Dashboard!$B$5,'Route source'!$B$2:$B$365,A39)</x:f>
        <x:v>4483</x:v>
      </x:c>
      <x:c r="C39" s="7" t="n">
        <x:f>SUMIFS('Route source'!$F$2:$F$365,'Route source'!$A$2:$A$365,Dashboard!$B$5,'Route source'!$B$2:$B$365,A39)</x:f>
        <x:v>88</x:v>
      </x:c>
      <x:c r="D39" s="10" t="n">
        <x:f>IFERROR(C39/B39,"")</x:f>
        <x:v>0.019629712246263663</x:v>
      </x:c>
      <x:c r="E39" s="10" t="n">
        <x:f>IFERROR(SUMIFS('Route source'!$G$2:$G$365,'Route source'!$A$2:$A$365,Dashboard!$B$5,'Route source'!$B$2:$B$365,A39)/SUMIFS('Route source'!$E$2:$E$365,'Route source'!$A$2:$A$365,Dashboard!$B$5,'Route source'!$B$2:$B$365,A39),"")</x:f>
        <x:v>0.7401592718998863</x:v>
      </x:c>
      <x:c r="F39" s="7" t="n">
        <x:f>SUMIFS('Route source'!$H$2:$H$365,'Route source'!$A$2:$A$365,Dashboard!$B$5,'Route source'!$B$2:$B$365,A39)</x:f>
        <x:v>1142</x:v>
      </x:c>
      <x:c r="G39" s="1" t="n">
        <x:f>SUMIFS('Route source'!$C$2:$C$365,'Route source'!$A$2:$A$365,Dashboard!$B$5,'Route source'!$B$2:$B$365,A39)</x:f>
        <x:v>12</x:v>
      </x:c>
      <x:c r="H39" s="1" t="n">
        <x:f>RANK(C39,$C$7:$C$134,0)</x:f>
        <x:v>26</x:v>
      </x:c>
    </x:row>
    <x:row r="40" ht="23" customHeight="1">
      <x:c r="A40" s="1" t="str">
        <x:v>Broome-Perth</x:v>
      </x:c>
      <x:c r="B40" s="7" t="n">
        <x:f>SUMIFS('Route source'!$D$2:$D$365,'Route source'!$A$2:$A$365,Dashboard!$B$5,'Route source'!$B$2:$B$365,A40)</x:f>
        <x:v>1596</x:v>
      </x:c>
      <x:c r="C40" s="7" t="n">
        <x:f>SUMIFS('Route source'!$F$2:$F$365,'Route source'!$A$2:$A$365,Dashboard!$B$5,'Route source'!$B$2:$B$365,A40)</x:f>
        <x:v>22</x:v>
      </x:c>
      <x:c r="D40" s="10" t="n">
        <x:f>IFERROR(C40/B40,"")</x:f>
        <x:v>0.013784461152882205</x:v>
      </x:c>
      <x:c r="E40" s="10" t="n">
        <x:f>IFERROR(SUMIFS('Route source'!$G$2:$G$365,'Route source'!$A$2:$A$365,Dashboard!$B$5,'Route source'!$B$2:$B$365,A40)/SUMIFS('Route source'!$E$2:$E$365,'Route source'!$A$2:$A$365,Dashboard!$B$5,'Route source'!$B$2:$B$365,A40),"")</x:f>
        <x:v>0.7026683608640406</x:v>
      </x:c>
      <x:c r="F40" s="7" t="n">
        <x:f>SUMIFS('Route source'!$H$2:$H$365,'Route source'!$A$2:$A$365,Dashboard!$B$5,'Route source'!$B$2:$B$365,A40)</x:f>
        <x:v>468</x:v>
      </x:c>
      <x:c r="G40" s="1" t="n">
        <x:f>SUMIFS('Route source'!$C$2:$C$365,'Route source'!$A$2:$A$365,Dashboard!$B$5,'Route source'!$B$2:$B$365,A40)</x:f>
        <x:v>12</x:v>
      </x:c>
      <x:c r="H40" s="1" t="n">
        <x:f>RANK(C40,$C$7:$C$134,0)</x:f>
        <x:v>77</x:v>
      </x:c>
    </x:row>
    <x:row r="41" ht="23" customHeight="1">
      <x:c r="A41" s="1" t="str">
        <x:v>Cairns-Adelaide</x:v>
      </x:c>
      <x:c r="B41" s="7" t="n">
        <x:f>SUMIFS('Route source'!$D$2:$D$365,'Route source'!$A$2:$A$365,Dashboard!$B$5,'Route source'!$B$2:$B$365,A41)</x:f>
        <x:v>0</x:v>
      </x:c>
      <x:c r="C41" s="7" t="n">
        <x:f>SUMIFS('Route source'!$F$2:$F$365,'Route source'!$A$2:$A$365,Dashboard!$B$5,'Route source'!$B$2:$B$365,A41)</x:f>
        <x:v>0</x:v>
      </x:c>
      <x:c r="D41" s="10" t="str">
        <x:f>IFERROR(C41/B41,"")</x:f>
      </x:c>
      <x:c r="E41" s="10" t="str">
        <x:f>IFERROR(SUMIFS('Route source'!$G$2:$G$365,'Route source'!$A$2:$A$365,Dashboard!$B$5,'Route source'!$B$2:$B$365,A41)/SUMIFS('Route source'!$E$2:$E$365,'Route source'!$A$2:$A$365,Dashboard!$B$5,'Route source'!$B$2:$B$365,A41),"")</x:f>
      </x:c>
      <x:c r="F41" s="7" t="n">
        <x:f>SUMIFS('Route source'!$H$2:$H$365,'Route source'!$A$2:$A$365,Dashboard!$B$5,'Route source'!$B$2:$B$365,A41)</x:f>
        <x:v>0</x:v>
      </x:c>
      <x:c r="G41" s="1" t="n">
        <x:f>SUMIFS('Route source'!$C$2:$C$365,'Route source'!$A$2:$A$365,Dashboard!$B$5,'Route source'!$B$2:$B$365,A41)</x:f>
        <x:v>0</x:v>
      </x:c>
      <x:c r="H41" s="1" t="n">
        <x:f>RANK(C41,$C$7:$C$134,0)</x:f>
        <x:v>120</x:v>
      </x:c>
    </x:row>
    <x:row r="42" ht="23" customHeight="1">
      <x:c r="A42" s="1" t="str">
        <x:v>Cairns-Brisbane</x:v>
      </x:c>
      <x:c r="B42" s="7" t="n">
        <x:f>SUMIFS('Route source'!$D$2:$D$365,'Route source'!$A$2:$A$365,Dashboard!$B$5,'Route source'!$B$2:$B$365,A42)</x:f>
        <x:v>5219</x:v>
      </x:c>
      <x:c r="C42" s="7" t="n">
        <x:f>SUMIFS('Route source'!$F$2:$F$365,'Route source'!$A$2:$A$365,Dashboard!$B$5,'Route source'!$B$2:$B$365,A42)</x:f>
        <x:v>59</x:v>
      </x:c>
      <x:c r="D42" s="10" t="n">
        <x:f>IFERROR(C42/B42,"")</x:f>
        <x:v>0.01130484767196781</x:v>
      </x:c>
      <x:c r="E42" s="10" t="n">
        <x:f>IFERROR(SUMIFS('Route source'!$G$2:$G$365,'Route source'!$A$2:$A$365,Dashboard!$B$5,'Route source'!$B$2:$B$365,A42)/SUMIFS('Route source'!$E$2:$E$365,'Route source'!$A$2:$A$365,Dashboard!$B$5,'Route source'!$B$2:$B$365,A42),"")</x:f>
        <x:v>0.7893410852713179</x:v>
      </x:c>
      <x:c r="F42" s="7" t="n">
        <x:f>SUMIFS('Route source'!$H$2:$H$365,'Route source'!$A$2:$A$365,Dashboard!$B$5,'Route source'!$B$2:$B$365,A42)</x:f>
        <x:v>1087</x:v>
      </x:c>
      <x:c r="G42" s="1" t="n">
        <x:f>SUMIFS('Route source'!$C$2:$C$365,'Route source'!$A$2:$A$365,Dashboard!$B$5,'Route source'!$B$2:$B$365,A42)</x:f>
        <x:v>12</x:v>
      </x:c>
      <x:c r="H42" s="1" t="n">
        <x:f>RANK(C42,$C$7:$C$134,0)</x:f>
        <x:v>50</x:v>
      </x:c>
    </x:row>
    <x:row r="43" ht="23" customHeight="1">
      <x:c r="A43" s="1" t="str">
        <x:v>Cairns-Melbourne</x:v>
      </x:c>
      <x:c r="B43" s="7" t="n">
        <x:f>SUMIFS('Route source'!$D$2:$D$365,'Route source'!$A$2:$A$365,Dashboard!$B$5,'Route source'!$B$2:$B$365,A43)</x:f>
        <x:v>2316</x:v>
      </x:c>
      <x:c r="C43" s="7" t="n">
        <x:f>SUMIFS('Route source'!$F$2:$F$365,'Route source'!$A$2:$A$365,Dashboard!$B$5,'Route source'!$B$2:$B$365,A43)</x:f>
        <x:v>18</x:v>
      </x:c>
      <x:c r="D43" s="10" t="n">
        <x:f>IFERROR(C43/B43,"")</x:f>
        <x:v>0.007772020725388601</x:v>
      </x:c>
      <x:c r="E43" s="10" t="n">
        <x:f>IFERROR(SUMIFS('Route source'!$G$2:$G$365,'Route source'!$A$2:$A$365,Dashboard!$B$5,'Route source'!$B$2:$B$365,A43)/SUMIFS('Route source'!$E$2:$E$365,'Route source'!$A$2:$A$365,Dashboard!$B$5,'Route source'!$B$2:$B$365,A43),"")</x:f>
        <x:v>0.7889469103568321</x:v>
      </x:c>
      <x:c r="F43" s="7" t="n">
        <x:f>SUMIFS('Route source'!$H$2:$H$365,'Route source'!$A$2:$A$365,Dashboard!$B$5,'Route source'!$B$2:$B$365,A43)</x:f>
        <x:v>485</x:v>
      </x:c>
      <x:c r="G43" s="1" t="n">
        <x:f>SUMIFS('Route source'!$C$2:$C$365,'Route source'!$A$2:$A$365,Dashboard!$B$5,'Route source'!$B$2:$B$365,A43)</x:f>
        <x:v>12</x:v>
      </x:c>
      <x:c r="H43" s="1" t="n">
        <x:f>RANK(C43,$C$7:$C$134,0)</x:f>
        <x:v>84</x:v>
      </x:c>
    </x:row>
    <x:row r="44" ht="23" customHeight="1">
      <x:c r="A44" s="1" t="str">
        <x:v>Cairns-Sydney</x:v>
      </x:c>
      <x:c r="B44" s="7" t="n">
        <x:f>SUMIFS('Route source'!$D$2:$D$365,'Route source'!$A$2:$A$365,Dashboard!$B$5,'Route source'!$B$2:$B$365,A44)</x:f>
        <x:v>2719</x:v>
      </x:c>
      <x:c r="C44" s="7" t="n">
        <x:f>SUMIFS('Route source'!$F$2:$F$365,'Route source'!$A$2:$A$365,Dashboard!$B$5,'Route source'!$B$2:$B$365,A44)</x:f>
        <x:v>22</x:v>
      </x:c>
      <x:c r="D44" s="10" t="n">
        <x:f>IFERROR(C44/B44,"")</x:f>
        <x:v>0.008091210003677823</x:v>
      </x:c>
      <x:c r="E44" s="10" t="n">
        <x:f>IFERROR(SUMIFS('Route source'!$G$2:$G$365,'Route source'!$A$2:$A$365,Dashboard!$B$5,'Route source'!$B$2:$B$365,A44)/SUMIFS('Route source'!$E$2:$E$365,'Route source'!$A$2:$A$365,Dashboard!$B$5,'Route source'!$B$2:$B$365,A44),"")</x:f>
        <x:v>0.7956989247311828</x:v>
      </x:c>
      <x:c r="F44" s="7" t="n">
        <x:f>SUMIFS('Route source'!$H$2:$H$365,'Route source'!$A$2:$A$365,Dashboard!$B$5,'Route source'!$B$2:$B$365,A44)</x:f>
        <x:v>551</x:v>
      </x:c>
      <x:c r="G44" s="1" t="n">
        <x:f>SUMIFS('Route source'!$C$2:$C$365,'Route source'!$A$2:$A$365,Dashboard!$B$5,'Route source'!$B$2:$B$365,A44)</x:f>
        <x:v>12</x:v>
      </x:c>
      <x:c r="H44" s="1" t="n">
        <x:f>RANK(C44,$C$7:$C$134,0)</x:f>
        <x:v>77</x:v>
      </x:c>
    </x:row>
    <x:row r="45" ht="23" customHeight="1">
      <x:c r="A45" s="1" t="str">
        <x:v>Cairns-Townsville</x:v>
      </x:c>
      <x:c r="B45" s="7" t="n">
        <x:f>SUMIFS('Route source'!$D$2:$D$365,'Route source'!$A$2:$A$365,Dashboard!$B$5,'Route source'!$B$2:$B$365,A45)</x:f>
        <x:v>134</x:v>
      </x:c>
      <x:c r="C45" s="7" t="n">
        <x:f>SUMIFS('Route source'!$F$2:$F$365,'Route source'!$A$2:$A$365,Dashboard!$B$5,'Route source'!$B$2:$B$365,A45)</x:f>
        <x:v>1</x:v>
      </x:c>
      <x:c r="D45" s="10" t="n">
        <x:f>IFERROR(C45/B45,"")</x:f>
        <x:v>0.007462686567164179</x:v>
      </x:c>
      <x:c r="E45" s="10" t="n">
        <x:f>IFERROR(SUMIFS('Route source'!$G$2:$G$365,'Route source'!$A$2:$A$365,Dashboard!$B$5,'Route source'!$B$2:$B$365,A45)/SUMIFS('Route source'!$E$2:$E$365,'Route source'!$A$2:$A$365,Dashboard!$B$5,'Route source'!$B$2:$B$365,A45),"")</x:f>
        <x:v>0.7969924812030075</x:v>
      </x:c>
      <x:c r="F45" s="7" t="n">
        <x:f>SUMIFS('Route source'!$H$2:$H$365,'Route source'!$A$2:$A$365,Dashboard!$B$5,'Route source'!$B$2:$B$365,A45)</x:f>
        <x:v>27</x:v>
      </x:c>
      <x:c r="G45" s="1" t="n">
        <x:f>SUMIFS('Route source'!$C$2:$C$365,'Route source'!$A$2:$A$365,Dashboard!$B$5,'Route source'!$B$2:$B$365,A45)</x:f>
        <x:v>1</x:v>
      </x:c>
      <x:c r="H45" s="1" t="n">
        <x:f>RANK(C45,$C$7:$C$134,0)</x:f>
        <x:v>117</x:v>
      </x:c>
    </x:row>
    <x:row r="46" ht="23" customHeight="1">
      <x:c r="A46" s="1" t="str">
        <x:v>Canberra-Adelaide</x:v>
      </x:c>
      <x:c r="B46" s="7" t="n">
        <x:f>SUMIFS('Route source'!$D$2:$D$365,'Route source'!$A$2:$A$365,Dashboard!$B$5,'Route source'!$B$2:$B$365,A46)</x:f>
        <x:v>1302</x:v>
      </x:c>
      <x:c r="C46" s="7" t="n">
        <x:f>SUMIFS('Route source'!$F$2:$F$365,'Route source'!$A$2:$A$365,Dashboard!$B$5,'Route source'!$B$2:$B$365,A46)</x:f>
        <x:v>22</x:v>
      </x:c>
      <x:c r="D46" s="10" t="n">
        <x:f>IFERROR(C46/B46,"")</x:f>
        <x:v>0.016897081413210446</x:v>
      </x:c>
      <x:c r="E46" s="10" t="n">
        <x:f>IFERROR(SUMIFS('Route source'!$G$2:$G$365,'Route source'!$A$2:$A$365,Dashboard!$B$5,'Route source'!$B$2:$B$365,A46)/SUMIFS('Route source'!$E$2:$E$365,'Route source'!$A$2:$A$365,Dashboard!$B$5,'Route source'!$B$2:$B$365,A46),"")</x:f>
        <x:v>0.81796875</x:v>
      </x:c>
      <x:c r="F46" s="7" t="n">
        <x:f>SUMIFS('Route source'!$H$2:$H$365,'Route source'!$A$2:$A$365,Dashboard!$B$5,'Route source'!$B$2:$B$365,A46)</x:f>
        <x:v>233</x:v>
      </x:c>
      <x:c r="G46" s="1" t="n">
        <x:f>SUMIFS('Route source'!$C$2:$C$365,'Route source'!$A$2:$A$365,Dashboard!$B$5,'Route source'!$B$2:$B$365,A46)</x:f>
        <x:v>12</x:v>
      </x:c>
      <x:c r="H46" s="1" t="n">
        <x:f>RANK(C46,$C$7:$C$134,0)</x:f>
        <x:v>77</x:v>
      </x:c>
    </x:row>
    <x:row r="47" ht="23" customHeight="1">
      <x:c r="A47" s="1" t="str">
        <x:v>Canberra-Brisbane</x:v>
      </x:c>
      <x:c r="B47" s="7" t="n">
        <x:f>SUMIFS('Route source'!$D$2:$D$365,'Route source'!$A$2:$A$365,Dashboard!$B$5,'Route source'!$B$2:$B$365,A47)</x:f>
        <x:v>3555</x:v>
      </x:c>
      <x:c r="C47" s="7" t="n">
        <x:f>SUMIFS('Route source'!$F$2:$F$365,'Route source'!$A$2:$A$365,Dashboard!$B$5,'Route source'!$B$2:$B$365,A47)</x:f>
        <x:v>107</x:v>
      </x:c>
      <x:c r="D47" s="10" t="n">
        <x:f>IFERROR(C47/B47,"")</x:f>
        <x:v>0.03009845288326301</x:v>
      </x:c>
      <x:c r="E47" s="10" t="n">
        <x:f>IFERROR(SUMIFS('Route source'!$G$2:$G$365,'Route source'!$A$2:$A$365,Dashboard!$B$5,'Route source'!$B$2:$B$365,A47)/SUMIFS('Route source'!$E$2:$E$365,'Route source'!$A$2:$A$365,Dashboard!$B$5,'Route source'!$B$2:$B$365,A47),"")</x:f>
        <x:v>0.7874129930394431</x:v>
      </x:c>
      <x:c r="F47" s="7" t="n">
        <x:f>SUMIFS('Route source'!$H$2:$H$365,'Route source'!$A$2:$A$365,Dashboard!$B$5,'Route source'!$B$2:$B$365,A47)</x:f>
        <x:v>733</x:v>
      </x:c>
      <x:c r="G47" s="1" t="n">
        <x:f>SUMIFS('Route source'!$C$2:$C$365,'Route source'!$A$2:$A$365,Dashboard!$B$5,'Route source'!$B$2:$B$365,A47)</x:f>
        <x:v>12</x:v>
      </x:c>
      <x:c r="H47" s="1" t="n">
        <x:f>RANK(C47,$C$7:$C$134,0)</x:f>
        <x:v>21</x:v>
      </x:c>
    </x:row>
    <x:row r="48" ht="23" customHeight="1">
      <x:c r="A48" s="1" t="str">
        <x:v>Canberra-Gold Coast</x:v>
      </x:c>
      <x:c r="B48" s="7" t="n">
        <x:f>SUMIFS('Route source'!$D$2:$D$365,'Route source'!$A$2:$A$365,Dashboard!$B$5,'Route source'!$B$2:$B$365,A48)</x:f>
        <x:v>551</x:v>
      </x:c>
      <x:c r="C48" s="7" t="n">
        <x:f>SUMIFS('Route source'!$F$2:$F$365,'Route source'!$A$2:$A$365,Dashboard!$B$5,'Route source'!$B$2:$B$365,A48)</x:f>
        <x:v>6</x:v>
      </x:c>
      <x:c r="D48" s="10" t="n">
        <x:f>IFERROR(C48/B48,"")</x:f>
        <x:v>0.010889292196007259</x:v>
      </x:c>
      <x:c r="E48" s="10" t="n">
        <x:f>IFERROR(SUMIFS('Route source'!$G$2:$G$365,'Route source'!$A$2:$A$365,Dashboard!$B$5,'Route source'!$B$2:$B$365,A48)/SUMIFS('Route source'!$E$2:$E$365,'Route source'!$A$2:$A$365,Dashboard!$B$5,'Route source'!$B$2:$B$365,A48),"")</x:f>
        <x:v>0.8550458715596331</x:v>
      </x:c>
      <x:c r="F48" s="7" t="n">
        <x:f>SUMIFS('Route source'!$H$2:$H$365,'Route source'!$A$2:$A$365,Dashboard!$B$5,'Route source'!$B$2:$B$365,A48)</x:f>
        <x:v>79</x:v>
      </x:c>
      <x:c r="G48" s="1" t="n">
        <x:f>SUMIFS('Route source'!$C$2:$C$365,'Route source'!$A$2:$A$365,Dashboard!$B$5,'Route source'!$B$2:$B$365,A48)</x:f>
        <x:v>12</x:v>
      </x:c>
      <x:c r="H48" s="1" t="n">
        <x:f>RANK(C48,$C$7:$C$134,0)</x:f>
        <x:v>109</x:v>
      </x:c>
    </x:row>
    <x:row r="49" ht="23" customHeight="1">
      <x:c r="A49" s="1" t="str">
        <x:v>Canberra-Melbourne</x:v>
      </x:c>
      <x:c r="B49" s="7" t="n">
        <x:f>SUMIFS('Route source'!$D$2:$D$365,'Route source'!$A$2:$A$365,Dashboard!$B$5,'Route source'!$B$2:$B$365,A49)</x:f>
        <x:v>4245</x:v>
      </x:c>
      <x:c r="C49" s="7" t="n">
        <x:f>SUMIFS('Route source'!$F$2:$F$365,'Route source'!$A$2:$A$365,Dashboard!$B$5,'Route source'!$B$2:$B$365,A49)</x:f>
        <x:v>137</x:v>
      </x:c>
      <x:c r="D49" s="10" t="n">
        <x:f>IFERROR(C49/B49,"")</x:f>
        <x:v>0.032273262661955245</x:v>
      </x:c>
      <x:c r="E49" s="10" t="n">
        <x:f>IFERROR(SUMIFS('Route source'!$G$2:$G$365,'Route source'!$A$2:$A$365,Dashboard!$B$5,'Route source'!$B$2:$B$365,A49)/SUMIFS('Route source'!$E$2:$E$365,'Route source'!$A$2:$A$365,Dashboard!$B$5,'Route source'!$B$2:$B$365,A49),"")</x:f>
        <x:v>0.8006329113924051</x:v>
      </x:c>
      <x:c r="F49" s="7" t="n">
        <x:f>SUMIFS('Route source'!$H$2:$H$365,'Route source'!$A$2:$A$365,Dashboard!$B$5,'Route source'!$B$2:$B$365,A49)</x:f>
        <x:v>819</x:v>
      </x:c>
      <x:c r="G49" s="1" t="n">
        <x:f>SUMIFS('Route source'!$C$2:$C$365,'Route source'!$A$2:$A$365,Dashboard!$B$5,'Route source'!$B$2:$B$365,A49)</x:f>
        <x:v>12</x:v>
      </x:c>
      <x:c r="H49" s="1" t="n">
        <x:f>RANK(C49,$C$7:$C$134,0)</x:f>
        <x:v>14</x:v>
      </x:c>
    </x:row>
    <x:row r="50" ht="23" customHeight="1">
      <x:c r="A50" s="1" t="str">
        <x:v>Canberra-Sydney</x:v>
      </x:c>
      <x:c r="B50" s="7" t="n">
        <x:f>SUMIFS('Route source'!$D$2:$D$365,'Route source'!$A$2:$A$365,Dashboard!$B$5,'Route source'!$B$2:$B$365,A50)</x:f>
        <x:v>7659</x:v>
      </x:c>
      <x:c r="C50" s="7" t="n">
        <x:f>SUMIFS('Route source'!$F$2:$F$365,'Route source'!$A$2:$A$365,Dashboard!$B$5,'Route source'!$B$2:$B$365,A50)</x:f>
        <x:v>474</x:v>
      </x:c>
      <x:c r="D50" s="10" t="n">
        <x:f>IFERROR(C50/B50,"")</x:f>
        <x:v>0.06188797493145319</x:v>
      </x:c>
      <x:c r="E50" s="10" t="n">
        <x:f>IFERROR(SUMIFS('Route source'!$G$2:$G$365,'Route source'!$A$2:$A$365,Dashboard!$B$5,'Route source'!$B$2:$B$365,A50)/SUMIFS('Route source'!$E$2:$E$365,'Route source'!$A$2:$A$365,Dashboard!$B$5,'Route source'!$B$2:$B$365,A50),"")</x:f>
        <x:v>0.7735560194850383</x:v>
      </x:c>
      <x:c r="F50" s="7" t="n">
        <x:f>SUMIFS('Route source'!$H$2:$H$365,'Route source'!$A$2:$A$365,Dashboard!$B$5,'Route source'!$B$2:$B$365,A50)</x:f>
        <x:v>1627</x:v>
      </x:c>
      <x:c r="G50" s="1" t="n">
        <x:f>SUMIFS('Route source'!$C$2:$C$365,'Route source'!$A$2:$A$365,Dashboard!$B$5,'Route source'!$B$2:$B$365,A50)</x:f>
        <x:v>12</x:v>
      </x:c>
      <x:c r="H50" s="1" t="n">
        <x:f>RANK(C50,$C$7:$C$134,0)</x:f>
        <x:v>5</x:v>
      </x:c>
    </x:row>
    <x:row r="51" ht="23" customHeight="1">
      <x:c r="A51" s="1" t="str">
        <x:v>Coffs Harbour-Sydney</x:v>
      </x:c>
      <x:c r="B51" s="7" t="n">
        <x:f>SUMIFS('Route source'!$D$2:$D$365,'Route source'!$A$2:$A$365,Dashboard!$B$5,'Route source'!$B$2:$B$365,A51)</x:f>
        <x:v>2149</x:v>
      </x:c>
      <x:c r="C51" s="7" t="n">
        <x:f>SUMIFS('Route source'!$F$2:$F$365,'Route source'!$A$2:$A$365,Dashboard!$B$5,'Route source'!$B$2:$B$365,A51)</x:f>
        <x:v>75</x:v>
      </x:c>
      <x:c r="D51" s="10" t="n">
        <x:f>IFERROR(C51/B51,"")</x:f>
        <x:v>0.03489995346672871</x:v>
      </x:c>
      <x:c r="E51" s="10" t="n">
        <x:f>IFERROR(SUMIFS('Route source'!$G$2:$G$365,'Route source'!$A$2:$A$365,Dashboard!$B$5,'Route source'!$B$2:$B$365,A51)/SUMIFS('Route source'!$E$2:$E$365,'Route source'!$A$2:$A$365,Dashboard!$B$5,'Route source'!$B$2:$B$365,A51),"")</x:f>
        <x:v>0.7261330761812922</x:v>
      </x:c>
      <x:c r="F51" s="7" t="n">
        <x:f>SUMIFS('Route source'!$H$2:$H$365,'Route source'!$A$2:$A$365,Dashboard!$B$5,'Route source'!$B$2:$B$365,A51)</x:f>
        <x:v>568</x:v>
      </x:c>
      <x:c r="G51" s="1" t="n">
        <x:f>SUMIFS('Route source'!$C$2:$C$365,'Route source'!$A$2:$A$365,Dashboard!$B$5,'Route source'!$B$2:$B$365,A51)</x:f>
        <x:v>12</x:v>
      </x:c>
      <x:c r="H51" s="1" t="n">
        <x:f>RANK(C51,$C$7:$C$134,0)</x:f>
        <x:v>38</x:v>
      </x:c>
    </x:row>
    <x:row r="52" ht="23" customHeight="1">
      <x:c r="A52" s="1" t="str">
        <x:v>Darwin-Adelaide</x:v>
      </x:c>
      <x:c r="B52" s="7" t="n">
        <x:f>SUMIFS('Route source'!$D$2:$D$365,'Route source'!$A$2:$A$365,Dashboard!$B$5,'Route source'!$B$2:$B$365,A52)</x:f>
        <x:v>0</x:v>
      </x:c>
      <x:c r="C52" s="7" t="n">
        <x:f>SUMIFS('Route source'!$F$2:$F$365,'Route source'!$A$2:$A$365,Dashboard!$B$5,'Route source'!$B$2:$B$365,A52)</x:f>
        <x:v>0</x:v>
      </x:c>
      <x:c r="D52" s="10" t="str">
        <x:f>IFERROR(C52/B52,"")</x:f>
      </x:c>
      <x:c r="E52" s="10" t="str">
        <x:f>IFERROR(SUMIFS('Route source'!$G$2:$G$365,'Route source'!$A$2:$A$365,Dashboard!$B$5,'Route source'!$B$2:$B$365,A52)/SUMIFS('Route source'!$E$2:$E$365,'Route source'!$A$2:$A$365,Dashboard!$B$5,'Route source'!$B$2:$B$365,A52),"")</x:f>
      </x:c>
      <x:c r="F52" s="7" t="n">
        <x:f>SUMIFS('Route source'!$H$2:$H$365,'Route source'!$A$2:$A$365,Dashboard!$B$5,'Route source'!$B$2:$B$365,A52)</x:f>
        <x:v>0</x:v>
      </x:c>
      <x:c r="G52" s="1" t="n">
        <x:f>SUMIFS('Route source'!$C$2:$C$365,'Route source'!$A$2:$A$365,Dashboard!$B$5,'Route source'!$B$2:$B$365,A52)</x:f>
        <x:v>0</x:v>
      </x:c>
      <x:c r="H52" s="1" t="n">
        <x:f>RANK(C52,$C$7:$C$134,0)</x:f>
        <x:v>120</x:v>
      </x:c>
    </x:row>
    <x:row r="53" ht="23" customHeight="1">
      <x:c r="A53" s="1" t="str">
        <x:v>Darwin-Brisbane</x:v>
      </x:c>
      <x:c r="B53" s="7" t="n">
        <x:f>SUMIFS('Route source'!$D$2:$D$365,'Route source'!$A$2:$A$365,Dashboard!$B$5,'Route source'!$B$2:$B$365,A53)</x:f>
        <x:v>1251</x:v>
      </x:c>
      <x:c r="C53" s="7" t="n">
        <x:f>SUMIFS('Route source'!$F$2:$F$365,'Route source'!$A$2:$A$365,Dashboard!$B$5,'Route source'!$B$2:$B$365,A53)</x:f>
        <x:v>20</x:v>
      </x:c>
      <x:c r="D53" s="10" t="n">
        <x:f>IFERROR(C53/B53,"")</x:f>
        <x:v>0.01598721023181455</x:v>
      </x:c>
      <x:c r="E53" s="10" t="n">
        <x:f>IFERROR(SUMIFS('Route source'!$G$2:$G$365,'Route source'!$A$2:$A$365,Dashboard!$B$5,'Route source'!$B$2:$B$365,A53)/SUMIFS('Route source'!$E$2:$E$365,'Route source'!$A$2:$A$365,Dashboard!$B$5,'Route source'!$B$2:$B$365,A53),"")</x:f>
        <x:v>0.7538586515028433</x:v>
      </x:c>
      <x:c r="F53" s="7" t="n">
        <x:f>SUMIFS('Route source'!$H$2:$H$365,'Route source'!$A$2:$A$365,Dashboard!$B$5,'Route source'!$B$2:$B$365,A53)</x:f>
        <x:v>303</x:v>
      </x:c>
      <x:c r="G53" s="1" t="n">
        <x:f>SUMIFS('Route source'!$C$2:$C$365,'Route source'!$A$2:$A$365,Dashboard!$B$5,'Route source'!$B$2:$B$365,A53)</x:f>
        <x:v>12</x:v>
      </x:c>
      <x:c r="H53" s="1" t="n">
        <x:f>RANK(C53,$C$7:$C$134,0)</x:f>
        <x:v>81</x:v>
      </x:c>
    </x:row>
    <x:row r="54" ht="23" customHeight="1">
      <x:c r="A54" s="1" t="str">
        <x:v>Darwin-Melbourne</x:v>
      </x:c>
      <x:c r="B54" s="7" t="n">
        <x:f>SUMIFS('Route source'!$D$2:$D$365,'Route source'!$A$2:$A$365,Dashboard!$B$5,'Route source'!$B$2:$B$365,A54)</x:f>
        <x:v>1017</x:v>
      </x:c>
      <x:c r="C54" s="7" t="n">
        <x:f>SUMIFS('Route source'!$F$2:$F$365,'Route source'!$A$2:$A$365,Dashboard!$B$5,'Route source'!$B$2:$B$365,A54)</x:f>
        <x:v>12</x:v>
      </x:c>
      <x:c r="D54" s="10" t="n">
        <x:f>IFERROR(C54/B54,"")</x:f>
        <x:v>0.011799410029498525</x:v>
      </x:c>
      <x:c r="E54" s="10" t="n">
        <x:f>IFERROR(SUMIFS('Route source'!$G$2:$G$365,'Route source'!$A$2:$A$365,Dashboard!$B$5,'Route source'!$B$2:$B$365,A54)/SUMIFS('Route source'!$E$2:$E$365,'Route source'!$A$2:$A$365,Dashboard!$B$5,'Route source'!$B$2:$B$365,A54),"")</x:f>
        <x:v>0.8</x:v>
      </x:c>
      <x:c r="F54" s="7" t="n">
        <x:f>SUMIFS('Route source'!$H$2:$H$365,'Route source'!$A$2:$A$365,Dashboard!$B$5,'Route source'!$B$2:$B$365,A54)</x:f>
        <x:v>201</x:v>
      </x:c>
      <x:c r="G54" s="1" t="n">
        <x:f>SUMIFS('Route source'!$C$2:$C$365,'Route source'!$A$2:$A$365,Dashboard!$B$5,'Route source'!$B$2:$B$365,A54)</x:f>
        <x:v>12</x:v>
      </x:c>
      <x:c r="H54" s="1" t="n">
        <x:f>RANK(C54,$C$7:$C$134,0)</x:f>
        <x:v>94</x:v>
      </x:c>
    </x:row>
    <x:row r="55" ht="23" customHeight="1">
      <x:c r="A55" s="1" t="str">
        <x:v>Darwin-Perth</x:v>
      </x:c>
      <x:c r="B55" s="7" t="n">
        <x:f>SUMIFS('Route source'!$D$2:$D$365,'Route source'!$A$2:$A$365,Dashboard!$B$5,'Route source'!$B$2:$B$365,A55)</x:f>
        <x:v>766</x:v>
      </x:c>
      <x:c r="C55" s="7" t="n">
        <x:f>SUMIFS('Route source'!$F$2:$F$365,'Route source'!$A$2:$A$365,Dashboard!$B$5,'Route source'!$B$2:$B$365,A55)</x:f>
        <x:v>9</x:v>
      </x:c>
      <x:c r="D55" s="10" t="n">
        <x:f>IFERROR(C55/B55,"")</x:f>
        <x:v>0.01174934725848564</x:v>
      </x:c>
      <x:c r="E55" s="10" t="n">
        <x:f>IFERROR(SUMIFS('Route source'!$G$2:$G$365,'Route source'!$A$2:$A$365,Dashboard!$B$5,'Route source'!$B$2:$B$365,A55)/SUMIFS('Route source'!$E$2:$E$365,'Route source'!$A$2:$A$365,Dashboard!$B$5,'Route source'!$B$2:$B$365,A55),"")</x:f>
        <x:v>0.7701453104359313</x:v>
      </x:c>
      <x:c r="F55" s="7" t="n">
        <x:f>SUMIFS('Route source'!$H$2:$H$365,'Route source'!$A$2:$A$365,Dashboard!$B$5,'Route source'!$B$2:$B$365,A55)</x:f>
        <x:v>174</x:v>
      </x:c>
      <x:c r="G55" s="1" t="n">
        <x:f>SUMIFS('Route source'!$C$2:$C$365,'Route source'!$A$2:$A$365,Dashboard!$B$5,'Route source'!$B$2:$B$365,A55)</x:f>
        <x:v>12</x:v>
      </x:c>
      <x:c r="H55" s="1" t="n">
        <x:f>RANK(C55,$C$7:$C$134,0)</x:f>
        <x:v>98</x:v>
      </x:c>
    </x:row>
    <x:row r="56" ht="23" customHeight="1">
      <x:c r="A56" s="1" t="str">
        <x:v>Darwin-Sydney</x:v>
      </x:c>
      <x:c r="B56" s="7" t="n">
        <x:f>SUMIFS('Route source'!$D$2:$D$365,'Route source'!$A$2:$A$365,Dashboard!$B$5,'Route source'!$B$2:$B$365,A56)</x:f>
        <x:v>0</x:v>
      </x:c>
      <x:c r="C56" s="7" t="n">
        <x:f>SUMIFS('Route source'!$F$2:$F$365,'Route source'!$A$2:$A$365,Dashboard!$B$5,'Route source'!$B$2:$B$365,A56)</x:f>
        <x:v>0</x:v>
      </x:c>
      <x:c r="D56" s="10" t="str">
        <x:f>IFERROR(C56/B56,"")</x:f>
      </x:c>
      <x:c r="E56" s="10" t="str">
        <x:f>IFERROR(SUMIFS('Route source'!$G$2:$G$365,'Route source'!$A$2:$A$365,Dashboard!$B$5,'Route source'!$B$2:$B$365,A56)/SUMIFS('Route source'!$E$2:$E$365,'Route source'!$A$2:$A$365,Dashboard!$B$5,'Route source'!$B$2:$B$365,A56),"")</x:f>
      </x:c>
      <x:c r="F56" s="7" t="n">
        <x:f>SUMIFS('Route source'!$H$2:$H$365,'Route source'!$A$2:$A$365,Dashboard!$B$5,'Route source'!$B$2:$B$365,A56)</x:f>
        <x:v>0</x:v>
      </x:c>
      <x:c r="G56" s="1" t="n">
        <x:f>SUMIFS('Route source'!$C$2:$C$365,'Route source'!$A$2:$A$365,Dashboard!$B$5,'Route source'!$B$2:$B$365,A56)</x:f>
        <x:v>0</x:v>
      </x:c>
      <x:c r="H56" s="1" t="n">
        <x:f>RANK(C56,$C$7:$C$134,0)</x:f>
        <x:v>120</x:v>
      </x:c>
    </x:row>
    <x:row r="57" ht="23" customHeight="1">
      <x:c r="A57" s="1" t="str">
        <x:v>Devonport-Melbourne</x:v>
      </x:c>
      <x:c r="B57" s="7" t="n">
        <x:f>SUMIFS('Route source'!$D$2:$D$365,'Route source'!$A$2:$A$365,Dashboard!$B$5,'Route source'!$B$2:$B$365,A57)</x:f>
        <x:v>1751</x:v>
      </x:c>
      <x:c r="C57" s="7" t="n">
        <x:f>SUMIFS('Route source'!$F$2:$F$365,'Route source'!$A$2:$A$365,Dashboard!$B$5,'Route source'!$B$2:$B$365,A57)</x:f>
        <x:v>69</x:v>
      </x:c>
      <x:c r="D57" s="10" t="n">
        <x:f>IFERROR(C57/B57,"")</x:f>
        <x:v>0.03940605368360937</x:v>
      </x:c>
      <x:c r="E57" s="10" t="n">
        <x:f>IFERROR(SUMIFS('Route source'!$G$2:$G$365,'Route source'!$A$2:$A$365,Dashboard!$B$5,'Route source'!$B$2:$B$365,A57)/SUMIFS('Route source'!$E$2:$E$365,'Route source'!$A$2:$A$365,Dashboard!$B$5,'Route source'!$B$2:$B$365,A57),"")</x:f>
        <x:v>0.8246135552913199</x:v>
      </x:c>
      <x:c r="F57" s="7" t="n">
        <x:f>SUMIFS('Route source'!$H$2:$H$365,'Route source'!$A$2:$A$365,Dashboard!$B$5,'Route source'!$B$2:$B$365,A57)</x:f>
        <x:v>295</x:v>
      </x:c>
      <x:c r="G57" s="1" t="n">
        <x:f>SUMIFS('Route source'!$C$2:$C$365,'Route source'!$A$2:$A$365,Dashboard!$B$5,'Route source'!$B$2:$B$365,A57)</x:f>
        <x:v>12</x:v>
      </x:c>
      <x:c r="H57" s="1" t="n">
        <x:f>RANK(C57,$C$7:$C$134,0)</x:f>
        <x:v>42</x:v>
      </x:c>
    </x:row>
    <x:row r="58" ht="23" customHeight="1">
      <x:c r="A58" s="1" t="str">
        <x:v>Dubbo-Sydney</x:v>
      </x:c>
      <x:c r="B58" s="7" t="n">
        <x:f>SUMIFS('Route source'!$D$2:$D$365,'Route source'!$A$2:$A$365,Dashboard!$B$5,'Route source'!$B$2:$B$365,A58)</x:f>
        <x:v>2585</x:v>
      </x:c>
      <x:c r="C58" s="7" t="n">
        <x:f>SUMIFS('Route source'!$F$2:$F$365,'Route source'!$A$2:$A$365,Dashboard!$B$5,'Route source'!$B$2:$B$365,A58)</x:f>
        <x:v>94</x:v>
      </x:c>
      <x:c r="D58" s="10" t="n">
        <x:f>IFERROR(C58/B58,"")</x:f>
        <x:v>0.03636363636363636</x:v>
      </x:c>
      <x:c r="E58" s="10" t="n">
        <x:f>IFERROR(SUMIFS('Route source'!$G$2:$G$365,'Route source'!$A$2:$A$365,Dashboard!$B$5,'Route source'!$B$2:$B$365,A58)/SUMIFS('Route source'!$E$2:$E$365,'Route source'!$A$2:$A$365,Dashboard!$B$5,'Route source'!$B$2:$B$365,A58),"")</x:f>
        <x:v>0.7490967482938579</x:v>
      </x:c>
      <x:c r="F58" s="7" t="n">
        <x:f>SUMIFS('Route source'!$H$2:$H$365,'Route source'!$A$2:$A$365,Dashboard!$B$5,'Route source'!$B$2:$B$365,A58)</x:f>
        <x:v>625</x:v>
      </x:c>
      <x:c r="G58" s="1" t="n">
        <x:f>SUMIFS('Route source'!$C$2:$C$365,'Route source'!$A$2:$A$365,Dashboard!$B$5,'Route source'!$B$2:$B$365,A58)</x:f>
        <x:v>12</x:v>
      </x:c>
      <x:c r="H58" s="1" t="n">
        <x:f>RANK(C58,$C$7:$C$134,0)</x:f>
        <x:v>25</x:v>
      </x:c>
    </x:row>
    <x:row r="59" ht="23" customHeight="1">
      <x:c r="A59" s="1" t="str">
        <x:v>Emerald-Brisbane</x:v>
      </x:c>
      <x:c r="B59" s="7" t="n">
        <x:f>SUMIFS('Route source'!$D$2:$D$365,'Route source'!$A$2:$A$365,Dashboard!$B$5,'Route source'!$B$2:$B$365,A59)</x:f>
        <x:v>1729</x:v>
      </x:c>
      <x:c r="C59" s="7" t="n">
        <x:f>SUMIFS('Route source'!$F$2:$F$365,'Route source'!$A$2:$A$365,Dashboard!$B$5,'Route source'!$B$2:$B$365,A59)</x:f>
        <x:v>59</x:v>
      </x:c>
      <x:c r="D59" s="10" t="n">
        <x:f>IFERROR(C59/B59,"")</x:f>
        <x:v>0.03412377096587623</x:v>
      </x:c>
      <x:c r="E59" s="10" t="n">
        <x:f>IFERROR(SUMIFS('Route source'!$G$2:$G$365,'Route source'!$A$2:$A$365,Dashboard!$B$5,'Route source'!$B$2:$B$365,A59)/SUMIFS('Route source'!$E$2:$E$365,'Route source'!$A$2:$A$365,Dashboard!$B$5,'Route source'!$B$2:$B$365,A59),"")</x:f>
        <x:v>0.8982035928143712</x:v>
      </x:c>
      <x:c r="F59" s="7" t="n">
        <x:f>SUMIFS('Route source'!$H$2:$H$365,'Route source'!$A$2:$A$365,Dashboard!$B$5,'Route source'!$B$2:$B$365,A59)</x:f>
        <x:v>170</x:v>
      </x:c>
      <x:c r="G59" s="1" t="n">
        <x:f>SUMIFS('Route source'!$C$2:$C$365,'Route source'!$A$2:$A$365,Dashboard!$B$5,'Route source'!$B$2:$B$365,A59)</x:f>
        <x:v>12</x:v>
      </x:c>
      <x:c r="H59" s="1" t="n">
        <x:f>RANK(C59,$C$7:$C$134,0)</x:f>
        <x:v>50</x:v>
      </x:c>
    </x:row>
    <x:row r="60" ht="23" customHeight="1">
      <x:c r="A60" s="1" t="str">
        <x:v>Gladstone-Brisbane</x:v>
      </x:c>
      <x:c r="B60" s="7" t="n">
        <x:f>SUMIFS('Route source'!$D$2:$D$365,'Route source'!$A$2:$A$365,Dashboard!$B$5,'Route source'!$B$2:$B$365,A60)</x:f>
        <x:v>1931</x:v>
      </x:c>
      <x:c r="C60" s="7" t="n">
        <x:f>SUMIFS('Route source'!$F$2:$F$365,'Route source'!$A$2:$A$365,Dashboard!$B$5,'Route source'!$B$2:$B$365,A60)</x:f>
        <x:v>79</x:v>
      </x:c>
      <x:c r="D60" s="10" t="n">
        <x:f>IFERROR(C60/B60,"")</x:f>
        <x:v>0.04091144484722942</x:v>
      </x:c>
      <x:c r="E60" s="10" t="n">
        <x:f>IFERROR(SUMIFS('Route source'!$G$2:$G$365,'Route source'!$A$2:$A$365,Dashboard!$B$5,'Route source'!$B$2:$B$365,A60)/SUMIFS('Route source'!$E$2:$E$365,'Route source'!$A$2:$A$365,Dashboard!$B$5,'Route source'!$B$2:$B$365,A60),"")</x:f>
        <x:v>0.8374730021598272</x:v>
      </x:c>
      <x:c r="F60" s="7" t="n">
        <x:f>SUMIFS('Route source'!$H$2:$H$365,'Route source'!$A$2:$A$365,Dashboard!$B$5,'Route source'!$B$2:$B$365,A60)</x:f>
        <x:v>301</x:v>
      </x:c>
      <x:c r="G60" s="1" t="n">
        <x:f>SUMIFS('Route source'!$C$2:$C$365,'Route source'!$A$2:$A$365,Dashboard!$B$5,'Route source'!$B$2:$B$365,A60)</x:f>
        <x:v>12</x:v>
      </x:c>
      <x:c r="H60" s="1" t="n">
        <x:f>RANK(C60,$C$7:$C$134,0)</x:f>
        <x:v>35</x:v>
      </x:c>
    </x:row>
    <x:row r="61" ht="23" customHeight="1">
      <x:c r="A61" s="1" t="str">
        <x:v>Gold Coast-Adelaide</x:v>
      </x:c>
      <x:c r="B61" s="7" t="n">
        <x:f>SUMIFS('Route source'!$D$2:$D$365,'Route source'!$A$2:$A$365,Dashboard!$B$5,'Route source'!$B$2:$B$365,A61)</x:f>
        <x:v>779</x:v>
      </x:c>
      <x:c r="C61" s="7" t="n">
        <x:f>SUMIFS('Route source'!$F$2:$F$365,'Route source'!$A$2:$A$365,Dashboard!$B$5,'Route source'!$B$2:$B$365,A61)</x:f>
        <x:v>8</x:v>
      </x:c>
      <x:c r="D61" s="10" t="n">
        <x:f>IFERROR(C61/B61,"")</x:f>
        <x:v>0.010269576379974325</x:v>
      </x:c>
      <x:c r="E61" s="10" t="n">
        <x:f>IFERROR(SUMIFS('Route source'!$G$2:$G$365,'Route source'!$A$2:$A$365,Dashboard!$B$5,'Route source'!$B$2:$B$365,A61)/SUMIFS('Route source'!$E$2:$E$365,'Route source'!$A$2:$A$365,Dashboard!$B$5,'Route source'!$B$2:$B$365,A61),"")</x:f>
        <x:v>0.7457846952010376</x:v>
      </x:c>
      <x:c r="F61" s="7" t="n">
        <x:f>SUMIFS('Route source'!$H$2:$H$365,'Route source'!$A$2:$A$365,Dashboard!$B$5,'Route source'!$B$2:$B$365,A61)</x:f>
        <x:v>196</x:v>
      </x:c>
      <x:c r="G61" s="1" t="n">
        <x:f>SUMIFS('Route source'!$C$2:$C$365,'Route source'!$A$2:$A$365,Dashboard!$B$5,'Route source'!$B$2:$B$365,A61)</x:f>
        <x:v>12</x:v>
      </x:c>
      <x:c r="H61" s="1" t="n">
        <x:f>RANK(C61,$C$7:$C$134,0)</x:f>
        <x:v>104</x:v>
      </x:c>
    </x:row>
    <x:row r="62" ht="23" customHeight="1">
      <x:c r="A62" s="1" t="str">
        <x:v>Gold Coast-Canberra</x:v>
      </x:c>
      <x:c r="B62" s="7" t="n">
        <x:f>SUMIFS('Route source'!$D$2:$D$365,'Route source'!$A$2:$A$365,Dashboard!$B$5,'Route source'!$B$2:$B$365,A62)</x:f>
        <x:v>551</x:v>
      </x:c>
      <x:c r="C62" s="7" t="n">
        <x:f>SUMIFS('Route source'!$F$2:$F$365,'Route source'!$A$2:$A$365,Dashboard!$B$5,'Route source'!$B$2:$B$365,A62)</x:f>
        <x:v>6</x:v>
      </x:c>
      <x:c r="D62" s="10" t="n">
        <x:f>IFERROR(C62/B62,"")</x:f>
        <x:v>0.010889292196007259</x:v>
      </x:c>
      <x:c r="E62" s="10" t="n">
        <x:f>IFERROR(SUMIFS('Route source'!$G$2:$G$365,'Route source'!$A$2:$A$365,Dashboard!$B$5,'Route source'!$B$2:$B$365,A62)/SUMIFS('Route source'!$E$2:$E$365,'Route source'!$A$2:$A$365,Dashboard!$B$5,'Route source'!$B$2:$B$365,A62),"")</x:f>
        <x:v>0.8697247706422019</x:v>
      </x:c>
      <x:c r="F62" s="7" t="n">
        <x:f>SUMIFS('Route source'!$H$2:$H$365,'Route source'!$A$2:$A$365,Dashboard!$B$5,'Route source'!$B$2:$B$365,A62)</x:f>
        <x:v>71</x:v>
      </x:c>
      <x:c r="G62" s="1" t="n">
        <x:f>SUMIFS('Route source'!$C$2:$C$365,'Route source'!$A$2:$A$365,Dashboard!$B$5,'Route source'!$B$2:$B$365,A62)</x:f>
        <x:v>12</x:v>
      </x:c>
      <x:c r="H62" s="1" t="n">
        <x:f>RANK(C62,$C$7:$C$134,0)</x:f>
        <x:v>109</x:v>
      </x:c>
    </x:row>
    <x:row r="63" ht="23" customHeight="1">
      <x:c r="A63" s="1" t="str">
        <x:v>Gold Coast-Melbourne</x:v>
      </x:c>
      <x:c r="B63" s="7" t="n">
        <x:f>SUMIFS('Route source'!$D$2:$D$365,'Route source'!$A$2:$A$365,Dashboard!$B$5,'Route source'!$B$2:$B$365,A63)</x:f>
        <x:v>6315</x:v>
      </x:c>
      <x:c r="C63" s="7" t="n">
        <x:f>SUMIFS('Route source'!$F$2:$F$365,'Route source'!$A$2:$A$365,Dashboard!$B$5,'Route source'!$B$2:$B$365,A63)</x:f>
        <x:v>145</x:v>
      </x:c>
      <x:c r="D63" s="10" t="n">
        <x:f>IFERROR(C63/B63,"")</x:f>
        <x:v>0.022961203483768806</x:v>
      </x:c>
      <x:c r="E63" s="10" t="n">
        <x:f>IFERROR(SUMIFS('Route source'!$G$2:$G$365,'Route source'!$A$2:$A$365,Dashboard!$B$5,'Route source'!$B$2:$B$365,A63)/SUMIFS('Route source'!$E$2:$E$365,'Route source'!$A$2:$A$365,Dashboard!$B$5,'Route source'!$B$2:$B$365,A63),"")</x:f>
        <x:v>0.746677471636953</x:v>
      </x:c>
      <x:c r="F63" s="7" t="n">
        <x:f>SUMIFS('Route source'!$H$2:$H$365,'Route source'!$A$2:$A$365,Dashboard!$B$5,'Route source'!$B$2:$B$365,A63)</x:f>
        <x:v>1563</x:v>
      </x:c>
      <x:c r="G63" s="1" t="n">
        <x:f>SUMIFS('Route source'!$C$2:$C$365,'Route source'!$A$2:$A$365,Dashboard!$B$5,'Route source'!$B$2:$B$365,A63)</x:f>
        <x:v>12</x:v>
      </x:c>
      <x:c r="H63" s="1" t="n">
        <x:f>RANK(C63,$C$7:$C$134,0)</x:f>
        <x:v>13</x:v>
      </x:c>
    </x:row>
    <x:row r="64" ht="23" customHeight="1">
      <x:c r="A64" s="1" t="str">
        <x:v>Gold Coast-Sydney</x:v>
      </x:c>
      <x:c r="B64" s="7" t="n">
        <x:f>SUMIFS('Route source'!$D$2:$D$365,'Route source'!$A$2:$A$365,Dashboard!$B$5,'Route source'!$B$2:$B$365,A64)</x:f>
        <x:v>8135</x:v>
      </x:c>
      <x:c r="C64" s="7" t="n">
        <x:f>SUMIFS('Route source'!$F$2:$F$365,'Route source'!$A$2:$A$365,Dashboard!$B$5,'Route source'!$B$2:$B$365,A64)</x:f>
        <x:v>166</x:v>
      </x:c>
      <x:c r="D64" s="10" t="n">
        <x:f>IFERROR(C64/B64,"")</x:f>
        <x:v>0.020405654578979717</x:v>
      </x:c>
      <x:c r="E64" s="10" t="n">
        <x:f>IFERROR(SUMIFS('Route source'!$G$2:$G$365,'Route source'!$A$2:$A$365,Dashboard!$B$5,'Route source'!$B$2:$B$365,A64)/SUMIFS('Route source'!$E$2:$E$365,'Route source'!$A$2:$A$365,Dashboard!$B$5,'Route source'!$B$2:$B$365,A64),"")</x:f>
        <x:v>0.7809009913414481</x:v>
      </x:c>
      <x:c r="F64" s="7" t="n">
        <x:f>SUMIFS('Route source'!$H$2:$H$365,'Route source'!$A$2:$A$365,Dashboard!$B$5,'Route source'!$B$2:$B$365,A64)</x:f>
        <x:v>1746</x:v>
      </x:c>
      <x:c r="G64" s="1" t="n">
        <x:f>SUMIFS('Route source'!$C$2:$C$365,'Route source'!$A$2:$A$365,Dashboard!$B$5,'Route source'!$B$2:$B$365,A64)</x:f>
        <x:v>12</x:v>
      </x:c>
      <x:c r="H64" s="1" t="n">
        <x:f>RANK(C64,$C$7:$C$134,0)</x:f>
        <x:v>10</x:v>
      </x:c>
    </x:row>
    <x:row r="65" ht="23" customHeight="1">
      <x:c r="A65" s="1" t="str">
        <x:v>Hamilton Island-Brisbane</x:v>
      </x:c>
      <x:c r="B65" s="7" t="n">
        <x:f>SUMIFS('Route source'!$D$2:$D$365,'Route source'!$A$2:$A$365,Dashboard!$B$5,'Route source'!$B$2:$B$365,A65)</x:f>
        <x:v>766</x:v>
      </x:c>
      <x:c r="C65" s="7" t="n">
        <x:f>SUMIFS('Route source'!$F$2:$F$365,'Route source'!$A$2:$A$365,Dashboard!$B$5,'Route source'!$B$2:$B$365,A65)</x:f>
        <x:v>9</x:v>
      </x:c>
      <x:c r="D65" s="10" t="n">
        <x:f>IFERROR(C65/B65,"")</x:f>
        <x:v>0.01174934725848564</x:v>
      </x:c>
      <x:c r="E65" s="10" t="n">
        <x:f>IFERROR(SUMIFS('Route source'!$G$2:$G$365,'Route source'!$A$2:$A$365,Dashboard!$B$5,'Route source'!$B$2:$B$365,A65)/SUMIFS('Route source'!$E$2:$E$365,'Route source'!$A$2:$A$365,Dashboard!$B$5,'Route source'!$B$2:$B$365,A65),"")</x:f>
        <x:v>0.7490092470277411</x:v>
      </x:c>
      <x:c r="F65" s="7" t="n">
        <x:f>SUMIFS('Route source'!$H$2:$H$365,'Route source'!$A$2:$A$365,Dashboard!$B$5,'Route source'!$B$2:$B$365,A65)</x:f>
        <x:v>190</x:v>
      </x:c>
      <x:c r="G65" s="1" t="n">
        <x:f>SUMIFS('Route source'!$C$2:$C$365,'Route source'!$A$2:$A$365,Dashboard!$B$5,'Route source'!$B$2:$B$365,A65)</x:f>
        <x:v>12</x:v>
      </x:c>
      <x:c r="H65" s="1" t="n">
        <x:f>RANK(C65,$C$7:$C$134,0)</x:f>
        <x:v>98</x:v>
      </x:c>
    </x:row>
    <x:row r="66" ht="23" customHeight="1">
      <x:c r="A66" s="1" t="str">
        <x:v>Hamilton Island-Sydney</x:v>
      </x:c>
      <x:c r="B66" s="7" t="n">
        <x:f>SUMIFS('Route source'!$D$2:$D$365,'Route source'!$A$2:$A$365,Dashboard!$B$5,'Route source'!$B$2:$B$365,A66)</x:f>
        <x:v>873</x:v>
      </x:c>
      <x:c r="C66" s="7" t="n">
        <x:f>SUMIFS('Route source'!$F$2:$F$365,'Route source'!$A$2:$A$365,Dashboard!$B$5,'Route source'!$B$2:$B$365,A66)</x:f>
        <x:v>4</x:v>
      </x:c>
      <x:c r="D66" s="10" t="n">
        <x:f>IFERROR(C66/B66,"")</x:f>
        <x:v>0.004581901489117984</x:v>
      </x:c>
      <x:c r="E66" s="10" t="n">
        <x:f>IFERROR(SUMIFS('Route source'!$G$2:$G$365,'Route source'!$A$2:$A$365,Dashboard!$B$5,'Route source'!$B$2:$B$365,A66)/SUMIFS('Route source'!$E$2:$E$365,'Route source'!$A$2:$A$365,Dashboard!$B$5,'Route source'!$B$2:$B$365,A66),"")</x:f>
        <x:v>0.6075949367088608</x:v>
      </x:c>
      <x:c r="F66" s="7" t="n">
        <x:f>SUMIFS('Route source'!$H$2:$H$365,'Route source'!$A$2:$A$365,Dashboard!$B$5,'Route source'!$B$2:$B$365,A66)</x:f>
        <x:v>341</x:v>
      </x:c>
      <x:c r="G66" s="1" t="n">
        <x:f>SUMIFS('Route source'!$C$2:$C$365,'Route source'!$A$2:$A$365,Dashboard!$B$5,'Route source'!$B$2:$B$365,A66)</x:f>
        <x:v>12</x:v>
      </x:c>
      <x:c r="H66" s="1" t="n">
        <x:f>RANK(C66,$C$7:$C$134,0)</x:f>
        <x:v>115</x:v>
      </x:c>
    </x:row>
    <x:row r="67" ht="23" customHeight="1">
      <x:c r="A67" s="1" t="str">
        <x:v>Hobart-Brisbane</x:v>
      </x:c>
      <x:c r="B67" s="7" t="n">
        <x:f>SUMIFS('Route source'!$D$2:$D$365,'Route source'!$A$2:$A$365,Dashboard!$B$5,'Route source'!$B$2:$B$365,A67)</x:f>
        <x:v>1109</x:v>
      </x:c>
      <x:c r="C67" s="7" t="n">
        <x:f>SUMIFS('Route source'!$F$2:$F$365,'Route source'!$A$2:$A$365,Dashboard!$B$5,'Route source'!$B$2:$B$365,A67)</x:f>
        <x:v>19</x:v>
      </x:c>
      <x:c r="D67" s="10" t="n">
        <x:f>IFERROR(C67/B67,"")</x:f>
        <x:v>0.017132551848512173</x:v>
      </x:c>
      <x:c r="E67" s="10" t="n">
        <x:f>IFERROR(SUMIFS('Route source'!$G$2:$G$365,'Route source'!$A$2:$A$365,Dashboard!$B$5,'Route source'!$B$2:$B$365,A67)/SUMIFS('Route source'!$E$2:$E$365,'Route source'!$A$2:$A$365,Dashboard!$B$5,'Route source'!$B$2:$B$365,A67),"")</x:f>
        <x:v>0.6926605504587156</x:v>
      </x:c>
      <x:c r="F67" s="7" t="n">
        <x:f>SUMIFS('Route source'!$H$2:$H$365,'Route source'!$A$2:$A$365,Dashboard!$B$5,'Route source'!$B$2:$B$365,A67)</x:f>
        <x:v>335</x:v>
      </x:c>
      <x:c r="G67" s="1" t="n">
        <x:f>SUMIFS('Route source'!$C$2:$C$365,'Route source'!$A$2:$A$365,Dashboard!$B$5,'Route source'!$B$2:$B$365,A67)</x:f>
        <x:v>12</x:v>
      </x:c>
      <x:c r="H67" s="1" t="n">
        <x:f>RANK(C67,$C$7:$C$134,0)</x:f>
        <x:v>82</x:v>
      </x:c>
    </x:row>
    <x:row r="68" ht="23" customHeight="1">
      <x:c r="A68" s="1" t="str">
        <x:v>Hobart-Melbourne</x:v>
      </x:c>
      <x:c r="B68" s="7" t="n">
        <x:f>SUMIFS('Route source'!$D$2:$D$365,'Route source'!$A$2:$A$365,Dashboard!$B$5,'Route source'!$B$2:$B$365,A68)</x:f>
        <x:v>4879</x:v>
      </x:c>
      <x:c r="C68" s="7" t="n">
        <x:f>SUMIFS('Route source'!$F$2:$F$365,'Route source'!$A$2:$A$365,Dashboard!$B$5,'Route source'!$B$2:$B$365,A68)</x:f>
        <x:v>55</x:v>
      </x:c>
      <x:c r="D68" s="10" t="n">
        <x:f>IFERROR(C68/B68,"")</x:f>
        <x:v>0.01127280180364829</x:v>
      </x:c>
      <x:c r="E68" s="10" t="n">
        <x:f>IFERROR(SUMIFS('Route source'!$G$2:$G$365,'Route source'!$A$2:$A$365,Dashboard!$B$5,'Route source'!$B$2:$B$365,A68)/SUMIFS('Route source'!$E$2:$E$365,'Route source'!$A$2:$A$365,Dashboard!$B$5,'Route source'!$B$2:$B$365,A68),"")</x:f>
        <x:v>0.7522802653399668</x:v>
      </x:c>
      <x:c r="F68" s="7" t="n">
        <x:f>SUMIFS('Route source'!$H$2:$H$365,'Route source'!$A$2:$A$365,Dashboard!$B$5,'Route source'!$B$2:$B$365,A68)</x:f>
        <x:v>1195</x:v>
      </x:c>
      <x:c r="G68" s="1" t="n">
        <x:f>SUMIFS('Route source'!$C$2:$C$365,'Route source'!$A$2:$A$365,Dashboard!$B$5,'Route source'!$B$2:$B$365,A68)</x:f>
        <x:v>12</x:v>
      </x:c>
      <x:c r="H68" s="1" t="n">
        <x:f>RANK(C68,$C$7:$C$134,0)</x:f>
        <x:v>53</x:v>
      </x:c>
    </x:row>
    <x:row r="69" ht="23" customHeight="1">
      <x:c r="A69" s="1" t="str">
        <x:v>Hobart-Sydney</x:v>
      </x:c>
      <x:c r="B69" s="7" t="n">
        <x:f>SUMIFS('Route source'!$D$2:$D$365,'Route source'!$A$2:$A$365,Dashboard!$B$5,'Route source'!$B$2:$B$365,A69)</x:f>
        <x:v>2874</x:v>
      </x:c>
      <x:c r="C69" s="7" t="n">
        <x:f>SUMIFS('Route source'!$F$2:$F$365,'Route source'!$A$2:$A$365,Dashboard!$B$5,'Route source'!$B$2:$B$365,A69)</x:f>
        <x:v>69</x:v>
      </x:c>
      <x:c r="D69" s="10" t="n">
        <x:f>IFERROR(C69/B69,"")</x:f>
        <x:v>0.024008350730688934</x:v>
      </x:c>
      <x:c r="E69" s="10" t="n">
        <x:f>IFERROR(SUMIFS('Route source'!$G$2:$G$365,'Route source'!$A$2:$A$365,Dashboard!$B$5,'Route source'!$B$2:$B$365,A69)/SUMIFS('Route source'!$E$2:$E$365,'Route source'!$A$2:$A$365,Dashboard!$B$5,'Route source'!$B$2:$B$365,A69),"")</x:f>
        <x:v>0.7614973262032085</x:v>
      </x:c>
      <x:c r="F69" s="7" t="n">
        <x:f>SUMIFS('Route source'!$H$2:$H$365,'Route source'!$A$2:$A$365,Dashboard!$B$5,'Route source'!$B$2:$B$365,A69)</x:f>
        <x:v>669</x:v>
      </x:c>
      <x:c r="G69" s="1" t="n">
        <x:f>SUMIFS('Route source'!$C$2:$C$365,'Route source'!$A$2:$A$365,Dashboard!$B$5,'Route source'!$B$2:$B$365,A69)</x:f>
        <x:v>12</x:v>
      </x:c>
      <x:c r="H69" s="1" t="n">
        <x:f>RANK(C69,$C$7:$C$134,0)</x:f>
        <x:v>42</x:v>
      </x:c>
    </x:row>
    <x:row r="70" ht="23" customHeight="1">
      <x:c r="A70" s="1" t="str">
        <x:v>Kalgoorlie-Perth</x:v>
      </x:c>
      <x:c r="B70" s="7" t="n">
        <x:f>SUMIFS('Route source'!$D$2:$D$365,'Route source'!$A$2:$A$365,Dashboard!$B$5,'Route source'!$B$2:$B$365,A70)</x:f>
        <x:v>2219</x:v>
      </x:c>
      <x:c r="C70" s="7" t="n">
        <x:f>SUMIFS('Route source'!$F$2:$F$365,'Route source'!$A$2:$A$365,Dashboard!$B$5,'Route source'!$B$2:$B$365,A70)</x:f>
        <x:v>76</x:v>
      </x:c>
      <x:c r="D70" s="10" t="n">
        <x:f>IFERROR(C70/B70,"")</x:f>
        <x:v>0.034249662009914375</x:v>
      </x:c>
      <x:c r="E70" s="10" t="n">
        <x:f>IFERROR(SUMIFS('Route source'!$G$2:$G$365,'Route source'!$A$2:$A$365,Dashboard!$B$5,'Route source'!$B$2:$B$365,A70)/SUMIFS('Route source'!$E$2:$E$365,'Route source'!$A$2:$A$365,Dashboard!$B$5,'Route source'!$B$2:$B$365,A70),"")</x:f>
        <x:v>0.6803546430237984</x:v>
      </x:c>
      <x:c r="F70" s="7" t="n">
        <x:f>SUMIFS('Route source'!$H$2:$H$365,'Route source'!$A$2:$A$365,Dashboard!$B$5,'Route source'!$B$2:$B$365,A70)</x:f>
        <x:v>685</x:v>
      </x:c>
      <x:c r="G70" s="1" t="n">
        <x:f>SUMIFS('Route source'!$C$2:$C$365,'Route source'!$A$2:$A$365,Dashboard!$B$5,'Route source'!$B$2:$B$365,A70)</x:f>
        <x:v>12</x:v>
      </x:c>
      <x:c r="H70" s="1" t="n">
        <x:f>RANK(C70,$C$7:$C$134,0)</x:f>
        <x:v>37</x:v>
      </x:c>
    </x:row>
    <x:row r="71" ht="23" customHeight="1">
      <x:c r="A71" s="1" t="str">
        <x:v>Karratha-Perth</x:v>
      </x:c>
      <x:c r="B71" s="7" t="n">
        <x:f>SUMIFS('Route source'!$D$2:$D$365,'Route source'!$A$2:$A$365,Dashboard!$B$5,'Route source'!$B$2:$B$365,A71)</x:f>
        <x:v>2947</x:v>
      </x:c>
      <x:c r="C71" s="7" t="n">
        <x:f>SUMIFS('Route source'!$F$2:$F$365,'Route source'!$A$2:$A$365,Dashboard!$B$5,'Route source'!$B$2:$B$365,A71)</x:f>
        <x:v>54</x:v>
      </x:c>
      <x:c r="D71" s="10" t="n">
        <x:f>IFERROR(C71/B71,"")</x:f>
        <x:v>0.01832371903630811</x:v>
      </x:c>
      <x:c r="E71" s="10" t="n">
        <x:f>IFERROR(SUMIFS('Route source'!$G$2:$G$365,'Route source'!$A$2:$A$365,Dashboard!$B$5,'Route source'!$B$2:$B$365,A71)/SUMIFS('Route source'!$E$2:$E$365,'Route source'!$A$2:$A$365,Dashboard!$B$5,'Route source'!$B$2:$B$365,A71),"")</x:f>
        <x:v>0.7331489802972693</x:v>
      </x:c>
      <x:c r="F71" s="7" t="n">
        <x:f>SUMIFS('Route source'!$H$2:$H$365,'Route source'!$A$2:$A$365,Dashboard!$B$5,'Route source'!$B$2:$B$365,A71)</x:f>
        <x:v>772</x:v>
      </x:c>
      <x:c r="G71" s="1" t="n">
        <x:f>SUMIFS('Route source'!$C$2:$C$365,'Route source'!$A$2:$A$365,Dashboard!$B$5,'Route source'!$B$2:$B$365,A71)</x:f>
        <x:v>12</x:v>
      </x:c>
      <x:c r="H71" s="1" t="n">
        <x:f>RANK(C71,$C$7:$C$134,0)</x:f>
        <x:v>54</x:v>
      </x:c>
    </x:row>
    <x:row r="72" ht="23" customHeight="1">
      <x:c r="A72" s="1" t="str">
        <x:v>Launceston-Brisbane</x:v>
      </x:c>
      <x:c r="B72" s="7" t="n">
        <x:f>SUMIFS('Route source'!$D$2:$D$365,'Route source'!$A$2:$A$365,Dashboard!$B$5,'Route source'!$B$2:$B$365,A72)</x:f>
        <x:v>489</x:v>
      </x:c>
      <x:c r="C72" s="7" t="n">
        <x:f>SUMIFS('Route source'!$F$2:$F$365,'Route source'!$A$2:$A$365,Dashboard!$B$5,'Route source'!$B$2:$B$365,A72)</x:f>
        <x:v>9</x:v>
      </x:c>
      <x:c r="D72" s="10" t="n">
        <x:f>IFERROR(C72/B72,"")</x:f>
        <x:v>0.018404907975460124</x:v>
      </x:c>
      <x:c r="E72" s="10" t="n">
        <x:f>IFERROR(SUMIFS('Route source'!$G$2:$G$365,'Route source'!$A$2:$A$365,Dashboard!$B$5,'Route source'!$B$2:$B$365,A72)/SUMIFS('Route source'!$E$2:$E$365,'Route source'!$A$2:$A$365,Dashboard!$B$5,'Route source'!$B$2:$B$365,A72),"")</x:f>
        <x:v>0.6333333333333333</x:v>
      </x:c>
      <x:c r="F72" s="7" t="n">
        <x:f>SUMIFS('Route source'!$H$2:$H$365,'Route source'!$A$2:$A$365,Dashboard!$B$5,'Route source'!$B$2:$B$365,A72)</x:f>
        <x:v>176</x:v>
      </x:c>
      <x:c r="G72" s="1" t="n">
        <x:f>SUMIFS('Route source'!$C$2:$C$365,'Route source'!$A$2:$A$365,Dashboard!$B$5,'Route source'!$B$2:$B$365,A72)</x:f>
        <x:v>12</x:v>
      </x:c>
      <x:c r="H72" s="1" t="n">
        <x:f>RANK(C72,$C$7:$C$134,0)</x:f>
        <x:v>98</x:v>
      </x:c>
    </x:row>
    <x:row r="73" ht="23" customHeight="1">
      <x:c r="A73" s="1" t="str">
        <x:v>Launceston-Melbourne</x:v>
      </x:c>
      <x:c r="B73" s="7" t="n">
        <x:f>SUMIFS('Route source'!$D$2:$D$365,'Route source'!$A$2:$A$365,Dashboard!$B$5,'Route source'!$B$2:$B$365,A73)</x:f>
        <x:v>3372</x:v>
      </x:c>
      <x:c r="C73" s="7" t="n">
        <x:f>SUMIFS('Route source'!$F$2:$F$365,'Route source'!$A$2:$A$365,Dashboard!$B$5,'Route source'!$B$2:$B$365,A73)</x:f>
        <x:v>66</x:v>
      </x:c>
      <x:c r="D73" s="10" t="n">
        <x:f>IFERROR(C73/B73,"")</x:f>
        <x:v>0.019572953736654804</x:v>
      </x:c>
      <x:c r="E73" s="10" t="n">
        <x:f>IFERROR(SUMIFS('Route source'!$G$2:$G$365,'Route source'!$A$2:$A$365,Dashboard!$B$5,'Route source'!$B$2:$B$365,A73)/SUMIFS('Route source'!$E$2:$E$365,'Route source'!$A$2:$A$365,Dashboard!$B$5,'Route source'!$B$2:$B$365,A73),"")</x:f>
        <x:v>0.7301875378100423</x:v>
      </x:c>
      <x:c r="F73" s="7" t="n">
        <x:f>SUMIFS('Route source'!$H$2:$H$365,'Route source'!$A$2:$A$365,Dashboard!$B$5,'Route source'!$B$2:$B$365,A73)</x:f>
        <x:v>892</x:v>
      </x:c>
      <x:c r="G73" s="1" t="n">
        <x:f>SUMIFS('Route source'!$C$2:$C$365,'Route source'!$A$2:$A$365,Dashboard!$B$5,'Route source'!$B$2:$B$365,A73)</x:f>
        <x:v>12</x:v>
      </x:c>
      <x:c r="H73" s="1" t="n">
        <x:f>RANK(C73,$C$7:$C$134,0)</x:f>
        <x:v>46</x:v>
      </x:c>
    </x:row>
    <x:row r="74" ht="23" customHeight="1">
      <x:c r="A74" s="1" t="str">
        <x:v>Launceston-Sydney</x:v>
      </x:c>
      <x:c r="B74" s="7" t="n">
        <x:f>SUMIFS('Route source'!$D$2:$D$365,'Route source'!$A$2:$A$365,Dashboard!$B$5,'Route source'!$B$2:$B$365,A74)</x:f>
        <x:v>1254</x:v>
      </x:c>
      <x:c r="C74" s="7" t="n">
        <x:f>SUMIFS('Route source'!$F$2:$F$365,'Route source'!$A$2:$A$365,Dashboard!$B$5,'Route source'!$B$2:$B$365,A74)</x:f>
        <x:v>10</x:v>
      </x:c>
      <x:c r="D74" s="10" t="n">
        <x:f>IFERROR(C74/B74,"")</x:f>
        <x:v>0.007974481658692184</x:v>
      </x:c>
      <x:c r="E74" s="10" t="n">
        <x:f>IFERROR(SUMIFS('Route source'!$G$2:$G$365,'Route source'!$A$2:$A$365,Dashboard!$B$5,'Route source'!$B$2:$B$365,A74)/SUMIFS('Route source'!$E$2:$E$365,'Route source'!$A$2:$A$365,Dashboard!$B$5,'Route source'!$B$2:$B$365,A74),"")</x:f>
        <x:v>0.702572347266881</x:v>
      </x:c>
      <x:c r="F74" s="7" t="n">
        <x:f>SUMIFS('Route source'!$H$2:$H$365,'Route source'!$A$2:$A$365,Dashboard!$B$5,'Route source'!$B$2:$B$365,A74)</x:f>
        <x:v>370</x:v>
      </x:c>
      <x:c r="G74" s="1" t="n">
        <x:f>SUMIFS('Route source'!$C$2:$C$365,'Route source'!$A$2:$A$365,Dashboard!$B$5,'Route source'!$B$2:$B$365,A74)</x:f>
        <x:v>12</x:v>
      </x:c>
      <x:c r="H74" s="1" t="n">
        <x:f>RANK(C74,$C$7:$C$134,0)</x:f>
        <x:v>96</x:v>
      </x:c>
    </x:row>
    <x:row r="75" ht="23" customHeight="1">
      <x:c r="A75" s="1" t="str">
        <x:v>Mackay-Brisbane</x:v>
      </x:c>
      <x:c r="B75" s="7" t="n">
        <x:f>SUMIFS('Route source'!$D$2:$D$365,'Route source'!$A$2:$A$365,Dashboard!$B$5,'Route source'!$B$2:$B$365,A75)</x:f>
        <x:v>3780</x:v>
      </x:c>
      <x:c r="C75" s="7" t="n">
        <x:f>SUMIFS('Route source'!$F$2:$F$365,'Route source'!$A$2:$A$365,Dashboard!$B$5,'Route source'!$B$2:$B$365,A75)</x:f>
        <x:v>115</x:v>
      </x:c>
      <x:c r="D75" s="10" t="n">
        <x:f>IFERROR(C75/B75,"")</x:f>
        <x:v>0.03042328042328042</x:v>
      </x:c>
      <x:c r="E75" s="10" t="n">
        <x:f>IFERROR(SUMIFS('Route source'!$G$2:$G$365,'Route source'!$A$2:$A$365,Dashboard!$B$5,'Route source'!$B$2:$B$365,A75)/SUMIFS('Route source'!$E$2:$E$365,'Route source'!$A$2:$A$365,Dashboard!$B$5,'Route source'!$B$2:$B$365,A75),"")</x:f>
        <x:v>0.8111869031377898</x:v>
      </x:c>
      <x:c r="F75" s="7" t="n">
        <x:f>SUMIFS('Route source'!$H$2:$H$365,'Route source'!$A$2:$A$365,Dashboard!$B$5,'Route source'!$B$2:$B$365,A75)</x:f>
        <x:v>692</x:v>
      </x:c>
      <x:c r="G75" s="1" t="n">
        <x:f>SUMIFS('Route source'!$C$2:$C$365,'Route source'!$A$2:$A$365,Dashboard!$B$5,'Route source'!$B$2:$B$365,A75)</x:f>
        <x:v>12</x:v>
      </x:c>
      <x:c r="H75" s="1" t="n">
        <x:f>RANK(C75,$C$7:$C$134,0)</x:f>
        <x:v>18</x:v>
      </x:c>
    </x:row>
    <x:row r="76" ht="23" customHeight="1">
      <x:c r="A76" s="1" t="str">
        <x:v>Melbourne-Adelaide</x:v>
      </x:c>
      <x:c r="B76" s="7" t="n">
        <x:f>SUMIFS('Route source'!$D$2:$D$365,'Route source'!$A$2:$A$365,Dashboard!$B$5,'Route source'!$B$2:$B$365,A76)</x:f>
        <x:v>8154</x:v>
      </x:c>
      <x:c r="C76" s="7" t="n">
        <x:f>SUMIFS('Route source'!$F$2:$F$365,'Route source'!$A$2:$A$365,Dashboard!$B$5,'Route source'!$B$2:$B$365,A76)</x:f>
        <x:v>84</x:v>
      </x:c>
      <x:c r="D76" s="10" t="n">
        <x:f>IFERROR(C76/B76,"")</x:f>
        <x:v>0.010301692420897719</x:v>
      </x:c>
      <x:c r="E76" s="10" t="n">
        <x:f>IFERROR(SUMIFS('Route source'!$G$2:$G$365,'Route source'!$A$2:$A$365,Dashboard!$B$5,'Route source'!$B$2:$B$365,A76)/SUMIFS('Route source'!$E$2:$E$365,'Route source'!$A$2:$A$365,Dashboard!$B$5,'Route source'!$B$2:$B$365,A76),"")</x:f>
        <x:v>0.7432465923172243</x:v>
      </x:c>
      <x:c r="F76" s="7" t="n">
        <x:f>SUMIFS('Route source'!$H$2:$H$365,'Route source'!$A$2:$A$365,Dashboard!$B$5,'Route source'!$B$2:$B$365,A76)</x:f>
        <x:v>2072</x:v>
      </x:c>
      <x:c r="G76" s="1" t="n">
        <x:f>SUMIFS('Route source'!$C$2:$C$365,'Route source'!$A$2:$A$365,Dashboard!$B$5,'Route source'!$B$2:$B$365,A76)</x:f>
        <x:v>12</x:v>
      </x:c>
      <x:c r="H76" s="1" t="n">
        <x:f>RANK(C76,$C$7:$C$134,0)</x:f>
        <x:v>30</x:v>
      </x:c>
    </x:row>
    <x:row r="77" ht="23" customHeight="1">
      <x:c r="A77" s="1" t="str">
        <x:v>Melbourne-Ayers Rock</x:v>
      </x:c>
      <x:c r="B77" s="7" t="n">
        <x:f>SUMIFS('Route source'!$D$2:$D$365,'Route source'!$A$2:$A$365,Dashboard!$B$5,'Route source'!$B$2:$B$365,A77)</x:f>
        <x:v>343</x:v>
      </x:c>
      <x:c r="C77" s="7" t="n">
        <x:f>SUMIFS('Route source'!$F$2:$F$365,'Route source'!$A$2:$A$365,Dashboard!$B$5,'Route source'!$B$2:$B$365,A77)</x:f>
        <x:v>0</x:v>
      </x:c>
      <x:c r="D77" s="10" t="n">
        <x:f>IFERROR(C77/B77,"")</x:f>
        <x:v>0</x:v>
      </x:c>
      <x:c r="E77" s="10" t="n">
        <x:f>IFERROR(SUMIFS('Route source'!$G$2:$G$365,'Route source'!$A$2:$A$365,Dashboard!$B$5,'Route source'!$B$2:$B$365,A77)/SUMIFS('Route source'!$E$2:$E$365,'Route source'!$A$2:$A$365,Dashboard!$B$5,'Route source'!$B$2:$B$365,A77),"")</x:f>
        <x:v>0.8542274052478134</x:v>
      </x:c>
      <x:c r="F77" s="7" t="n">
        <x:f>SUMIFS('Route source'!$H$2:$H$365,'Route source'!$A$2:$A$365,Dashboard!$B$5,'Route source'!$B$2:$B$365,A77)</x:f>
        <x:v>50</x:v>
      </x:c>
      <x:c r="G77" s="1" t="n">
        <x:f>SUMIFS('Route source'!$C$2:$C$365,'Route source'!$A$2:$A$365,Dashboard!$B$5,'Route source'!$B$2:$B$365,A77)</x:f>
        <x:v>11</x:v>
      </x:c>
      <x:c r="H77" s="1" t="n">
        <x:f>RANK(C77,$C$7:$C$134,0)</x:f>
        <x:v>120</x:v>
      </x:c>
    </x:row>
    <x:row r="78" ht="23" customHeight="1">
      <x:c r="A78" s="1" t="str">
        <x:v>Melbourne-Brisbane</x:v>
      </x:c>
      <x:c r="B78" s="7" t="n">
        <x:f>SUMIFS('Route source'!$D$2:$D$365,'Route source'!$A$2:$A$365,Dashboard!$B$5,'Route source'!$B$2:$B$365,A78)</x:f>
        <x:v>12334</x:v>
      </x:c>
      <x:c r="C78" s="7" t="n">
        <x:f>SUMIFS('Route source'!$F$2:$F$365,'Route source'!$A$2:$A$365,Dashboard!$B$5,'Route source'!$B$2:$B$365,A78)</x:f>
        <x:v>431</x:v>
      </x:c>
      <x:c r="D78" s="10" t="n">
        <x:f>IFERROR(C78/B78,"")</x:f>
        <x:v>0.034944057077995784</x:v>
      </x:c>
      <x:c r="E78" s="10" t="n">
        <x:f>IFERROR(SUMIFS('Route source'!$G$2:$G$365,'Route source'!$A$2:$A$365,Dashboard!$B$5,'Route source'!$B$2:$B$365,A78)/SUMIFS('Route source'!$E$2:$E$365,'Route source'!$A$2:$A$365,Dashboard!$B$5,'Route source'!$B$2:$B$365,A78),"")</x:f>
        <x:v>0.7315802738805344</x:v>
      </x:c>
      <x:c r="F78" s="7" t="n">
        <x:f>SUMIFS('Route source'!$H$2:$H$365,'Route source'!$A$2:$A$365,Dashboard!$B$5,'Route source'!$B$2:$B$365,A78)</x:f>
        <x:v>3195</x:v>
      </x:c>
      <x:c r="G78" s="1" t="n">
        <x:f>SUMIFS('Route source'!$C$2:$C$365,'Route source'!$A$2:$A$365,Dashboard!$B$5,'Route source'!$B$2:$B$365,A78)</x:f>
        <x:v>12</x:v>
      </x:c>
      <x:c r="H78" s="1" t="n">
        <x:f>RANK(C78,$C$7:$C$134,0)</x:f>
        <x:v>6</x:v>
      </x:c>
    </x:row>
    <x:row r="79" ht="23" customHeight="1">
      <x:c r="A79" s="1" t="str">
        <x:v>Melbourne-Cairns</x:v>
      </x:c>
      <x:c r="B79" s="7" t="n">
        <x:f>SUMIFS('Route source'!$D$2:$D$365,'Route source'!$A$2:$A$365,Dashboard!$B$5,'Route source'!$B$2:$B$365,A79)</x:f>
        <x:v>2313</x:v>
      </x:c>
      <x:c r="C79" s="7" t="n">
        <x:f>SUMIFS('Route source'!$F$2:$F$365,'Route source'!$A$2:$A$365,Dashboard!$B$5,'Route source'!$B$2:$B$365,A79)</x:f>
        <x:v>11</x:v>
      </x:c>
      <x:c r="D79" s="10" t="n">
        <x:f>IFERROR(C79/B79,"")</x:f>
        <x:v>0.004755728491137051</x:v>
      </x:c>
      <x:c r="E79" s="10" t="n">
        <x:f>IFERROR(SUMIFS('Route source'!$G$2:$G$365,'Route source'!$A$2:$A$365,Dashboard!$B$5,'Route source'!$B$2:$B$365,A79)/SUMIFS('Route source'!$E$2:$E$365,'Route source'!$A$2:$A$365,Dashboard!$B$5,'Route source'!$B$2:$B$365,A79),"")</x:f>
        <x:v>0.8006081668114683</x:v>
      </x:c>
      <x:c r="F79" s="7" t="n">
        <x:f>SUMIFS('Route source'!$H$2:$H$365,'Route source'!$A$2:$A$365,Dashboard!$B$5,'Route source'!$B$2:$B$365,A79)</x:f>
        <x:v>459</x:v>
      </x:c>
      <x:c r="G79" s="1" t="n">
        <x:f>SUMIFS('Route source'!$C$2:$C$365,'Route source'!$A$2:$A$365,Dashboard!$B$5,'Route source'!$B$2:$B$365,A79)</x:f>
        <x:v>12</x:v>
      </x:c>
      <x:c r="H79" s="1" t="n">
        <x:f>RANK(C79,$C$7:$C$134,0)</x:f>
        <x:v>95</x:v>
      </x:c>
    </x:row>
    <x:row r="80" ht="23" customHeight="1">
      <x:c r="A80" s="1" t="str">
        <x:v>Melbourne-Canberra</x:v>
      </x:c>
      <x:c r="B80" s="7" t="n">
        <x:f>SUMIFS('Route source'!$D$2:$D$365,'Route source'!$A$2:$A$365,Dashboard!$B$5,'Route source'!$B$2:$B$365,A80)</x:f>
        <x:v>4249</x:v>
      </x:c>
      <x:c r="C80" s="7" t="n">
        <x:f>SUMIFS('Route source'!$F$2:$F$365,'Route source'!$A$2:$A$365,Dashboard!$B$5,'Route source'!$B$2:$B$365,A80)</x:f>
        <x:v>112</x:v>
      </x:c>
      <x:c r="D80" s="10" t="n">
        <x:f>IFERROR(C80/B80,"")</x:f>
        <x:v>0.026359143327841845</x:v>
      </x:c>
      <x:c r="E80" s="10" t="n">
        <x:f>IFERROR(SUMIFS('Route source'!$G$2:$G$365,'Route source'!$A$2:$A$365,Dashboard!$B$5,'Route source'!$B$2:$B$365,A80)/SUMIFS('Route source'!$E$2:$E$365,'Route source'!$A$2:$A$365,Dashboard!$B$5,'Route source'!$B$2:$B$365,A80),"")</x:f>
        <x:v>0.7962291515591008</x:v>
      </x:c>
      <x:c r="F80" s="7" t="n">
        <x:f>SUMIFS('Route source'!$H$2:$H$365,'Route source'!$A$2:$A$365,Dashboard!$B$5,'Route source'!$B$2:$B$365,A80)</x:f>
        <x:v>843</x:v>
      </x:c>
      <x:c r="G80" s="1" t="n">
        <x:f>SUMIFS('Route source'!$C$2:$C$365,'Route source'!$A$2:$A$365,Dashboard!$B$5,'Route source'!$B$2:$B$365,A80)</x:f>
        <x:v>12</x:v>
      </x:c>
      <x:c r="H80" s="1" t="n">
        <x:f>RANK(C80,$C$7:$C$134,0)</x:f>
        <x:v>19</x:v>
      </x:c>
    </x:row>
    <x:row r="81" ht="23" customHeight="1">
      <x:c r="A81" s="1" t="str">
        <x:v>Melbourne-Darwin</x:v>
      </x:c>
      <x:c r="B81" s="7" t="n">
        <x:f>SUMIFS('Route source'!$D$2:$D$365,'Route source'!$A$2:$A$365,Dashboard!$B$5,'Route source'!$B$2:$B$365,A81)</x:f>
        <x:v>1014</x:v>
      </x:c>
      <x:c r="C81" s="7" t="n">
        <x:f>SUMIFS('Route source'!$F$2:$F$365,'Route source'!$A$2:$A$365,Dashboard!$B$5,'Route source'!$B$2:$B$365,A81)</x:f>
        <x:v>5</x:v>
      </x:c>
      <x:c r="D81" s="10" t="n">
        <x:f>IFERROR(C81/B81,"")</x:f>
        <x:v>0.004930966469428008</x:v>
      </x:c>
      <x:c r="E81" s="10" t="n">
        <x:f>IFERROR(SUMIFS('Route source'!$G$2:$G$365,'Route source'!$A$2:$A$365,Dashboard!$B$5,'Route source'!$B$2:$B$365,A81)/SUMIFS('Route source'!$E$2:$E$365,'Route source'!$A$2:$A$365,Dashboard!$B$5,'Route source'!$B$2:$B$365,A81),"")</x:f>
        <x:v>0.7661050545094152</x:v>
      </x:c>
      <x:c r="F81" s="7" t="n">
        <x:f>SUMIFS('Route source'!$H$2:$H$365,'Route source'!$A$2:$A$365,Dashboard!$B$5,'Route source'!$B$2:$B$365,A81)</x:f>
        <x:v>236</x:v>
      </x:c>
      <x:c r="G81" s="1" t="n">
        <x:f>SUMIFS('Route source'!$C$2:$C$365,'Route source'!$A$2:$A$365,Dashboard!$B$5,'Route source'!$B$2:$B$365,A81)</x:f>
        <x:v>12</x:v>
      </x:c>
      <x:c r="H81" s="1" t="n">
        <x:f>RANK(C81,$C$7:$C$134,0)</x:f>
        <x:v>112</x:v>
      </x:c>
    </x:row>
    <x:row r="82" ht="23" customHeight="1">
      <x:c r="A82" s="1" t="str">
        <x:v>Melbourne-Devonport</x:v>
      </x:c>
      <x:c r="B82" s="7" t="n">
        <x:f>SUMIFS('Route source'!$D$2:$D$365,'Route source'!$A$2:$A$365,Dashboard!$B$5,'Route source'!$B$2:$B$365,A82)</x:f>
        <x:v>1751</x:v>
      </x:c>
      <x:c r="C82" s="7" t="n">
        <x:f>SUMIFS('Route source'!$F$2:$F$365,'Route source'!$A$2:$A$365,Dashboard!$B$5,'Route source'!$B$2:$B$365,A82)</x:f>
        <x:v>60</x:v>
      </x:c>
      <x:c r="D82" s="10" t="n">
        <x:f>IFERROR(C82/B82,"")</x:f>
        <x:v>0.034266133637921185</x:v>
      </x:c>
      <x:c r="E82" s="10" t="n">
        <x:f>IFERROR(SUMIFS('Route source'!$G$2:$G$365,'Route source'!$A$2:$A$365,Dashboard!$B$5,'Route source'!$B$2:$B$365,A82)/SUMIFS('Route source'!$E$2:$E$365,'Route source'!$A$2:$A$365,Dashboard!$B$5,'Route source'!$B$2:$B$365,A82),"")</x:f>
        <x:v>0.7894736842105263</x:v>
      </x:c>
      <x:c r="F82" s="7" t="n">
        <x:f>SUMIFS('Route source'!$H$2:$H$365,'Route source'!$A$2:$A$365,Dashboard!$B$5,'Route source'!$B$2:$B$365,A82)</x:f>
        <x:v>356</x:v>
      </x:c>
      <x:c r="G82" s="1" t="n">
        <x:f>SUMIFS('Route source'!$C$2:$C$365,'Route source'!$A$2:$A$365,Dashboard!$B$5,'Route source'!$B$2:$B$365,A82)</x:f>
        <x:v>12</x:v>
      </x:c>
      <x:c r="H82" s="1" t="n">
        <x:f>RANK(C82,$C$7:$C$134,0)</x:f>
        <x:v>48</x:v>
      </x:c>
    </x:row>
    <x:row r="83" ht="23" customHeight="1">
      <x:c r="A83" s="1" t="str">
        <x:v>Melbourne-Gold Coast</x:v>
      </x:c>
      <x:c r="B83" s="7" t="n">
        <x:f>SUMIFS('Route source'!$D$2:$D$365,'Route source'!$A$2:$A$365,Dashboard!$B$5,'Route source'!$B$2:$B$365,A83)</x:f>
        <x:v>6316</x:v>
      </x:c>
      <x:c r="C83" s="7" t="n">
        <x:f>SUMIFS('Route source'!$F$2:$F$365,'Route source'!$A$2:$A$365,Dashboard!$B$5,'Route source'!$B$2:$B$365,A83)</x:f>
        <x:v>130</x:v>
      </x:c>
      <x:c r="D83" s="10" t="n">
        <x:f>IFERROR(C83/B83,"")</x:f>
        <x:v>0.02058264724509183</x:v>
      </x:c>
      <x:c r="E83" s="10" t="n">
        <x:f>IFERROR(SUMIFS('Route source'!$G$2:$G$365,'Route source'!$A$2:$A$365,Dashboard!$B$5,'Route source'!$B$2:$B$365,A83)/SUMIFS('Route source'!$E$2:$E$365,'Route source'!$A$2:$A$365,Dashboard!$B$5,'Route source'!$B$2:$B$365,A83),"")</x:f>
        <x:v>0.7683478823149046</x:v>
      </x:c>
      <x:c r="F83" s="7" t="n">
        <x:f>SUMIFS('Route source'!$H$2:$H$365,'Route source'!$A$2:$A$365,Dashboard!$B$5,'Route source'!$B$2:$B$365,A83)</x:f>
        <x:v>1433</x:v>
      </x:c>
      <x:c r="G83" s="1" t="n">
        <x:f>SUMIFS('Route source'!$C$2:$C$365,'Route source'!$A$2:$A$365,Dashboard!$B$5,'Route source'!$B$2:$B$365,A83)</x:f>
        <x:v>12</x:v>
      </x:c>
      <x:c r="H83" s="1" t="n">
        <x:f>RANK(C83,$C$7:$C$134,0)</x:f>
        <x:v>16</x:v>
      </x:c>
    </x:row>
    <x:row r="84" ht="23" customHeight="1">
      <x:c r="A84" s="1" t="str">
        <x:v>Melbourne-Hobart</x:v>
      </x:c>
      <x:c r="B84" s="7" t="n">
        <x:f>SUMIFS('Route source'!$D$2:$D$365,'Route source'!$A$2:$A$365,Dashboard!$B$5,'Route source'!$B$2:$B$365,A84)</x:f>
        <x:v>4875</x:v>
      </x:c>
      <x:c r="C84" s="7" t="n">
        <x:f>SUMIFS('Route source'!$F$2:$F$365,'Route source'!$A$2:$A$365,Dashboard!$B$5,'Route source'!$B$2:$B$365,A84)</x:f>
        <x:v>43</x:v>
      </x:c>
      <x:c r="D84" s="10" t="n">
        <x:f>IFERROR(C84/B84,"")</x:f>
        <x:v>0.00882051282051282</x:v>
      </x:c>
      <x:c r="E84" s="10" t="n">
        <x:f>IFERROR(SUMIFS('Route source'!$G$2:$G$365,'Route source'!$A$2:$A$365,Dashboard!$B$5,'Route source'!$B$2:$B$365,A84)/SUMIFS('Route source'!$E$2:$E$365,'Route source'!$A$2:$A$365,Dashboard!$B$5,'Route source'!$B$2:$B$365,A84),"")</x:f>
        <x:v>0.7597268211920529</x:v>
      </x:c>
      <x:c r="F84" s="7" t="n">
        <x:f>SUMIFS('Route source'!$H$2:$H$365,'Route source'!$A$2:$A$365,Dashboard!$B$5,'Route source'!$B$2:$B$365,A84)</x:f>
        <x:v>1161</x:v>
      </x:c>
      <x:c r="G84" s="1" t="n">
        <x:f>SUMIFS('Route source'!$C$2:$C$365,'Route source'!$A$2:$A$365,Dashboard!$B$5,'Route source'!$B$2:$B$365,A84)</x:f>
        <x:v>12</x:v>
      </x:c>
      <x:c r="H84" s="1" t="n">
        <x:f>RANK(C84,$C$7:$C$134,0)</x:f>
        <x:v>65</x:v>
      </x:c>
    </x:row>
    <x:row r="85" ht="23" customHeight="1">
      <x:c r="A85" s="1" t="str">
        <x:v>Melbourne-Launceston</x:v>
      </x:c>
      <x:c r="B85" s="7" t="n">
        <x:f>SUMIFS('Route source'!$D$2:$D$365,'Route source'!$A$2:$A$365,Dashboard!$B$5,'Route source'!$B$2:$B$365,A85)</x:f>
        <x:v>3373</x:v>
      </x:c>
      <x:c r="C85" s="7" t="n">
        <x:f>SUMIFS('Route source'!$F$2:$F$365,'Route source'!$A$2:$A$365,Dashboard!$B$5,'Route source'!$B$2:$B$365,A85)</x:f>
        <x:v>60</x:v>
      </x:c>
      <x:c r="D85" s="10" t="n">
        <x:f>IFERROR(C85/B85,"")</x:f>
        <x:v>0.017788319003854136</x:v>
      </x:c>
      <x:c r="E85" s="10" t="n">
        <x:f>IFERROR(SUMIFS('Route source'!$G$2:$G$365,'Route source'!$A$2:$A$365,Dashboard!$B$5,'Route source'!$B$2:$B$365,A85)/SUMIFS('Route source'!$E$2:$E$365,'Route source'!$A$2:$A$365,Dashboard!$B$5,'Route source'!$B$2:$B$365,A85),"")</x:f>
        <x:v>0.7023845457289466</x:v>
      </x:c>
      <x:c r="F85" s="7" t="n">
        <x:f>SUMIFS('Route source'!$H$2:$H$365,'Route source'!$A$2:$A$365,Dashboard!$B$5,'Route source'!$B$2:$B$365,A85)</x:f>
        <x:v>986</x:v>
      </x:c>
      <x:c r="G85" s="1" t="n">
        <x:f>SUMIFS('Route source'!$C$2:$C$365,'Route source'!$A$2:$A$365,Dashboard!$B$5,'Route source'!$B$2:$B$365,A85)</x:f>
        <x:v>12</x:v>
      </x:c>
      <x:c r="H85" s="1" t="n">
        <x:f>RANK(C85,$C$7:$C$134,0)</x:f>
        <x:v>48</x:v>
      </x:c>
    </x:row>
    <x:row r="86" ht="23" customHeight="1">
      <x:c r="A86" s="1" t="str">
        <x:v>Melbourne-Mildura</x:v>
      </x:c>
      <x:c r="B86" s="7" t="n">
        <x:f>SUMIFS('Route source'!$D$2:$D$365,'Route source'!$A$2:$A$365,Dashboard!$B$5,'Route source'!$B$2:$B$365,A86)</x:f>
        <x:v>2125</x:v>
      </x:c>
      <x:c r="C86" s="7" t="n">
        <x:f>SUMIFS('Route source'!$F$2:$F$365,'Route source'!$A$2:$A$365,Dashboard!$B$5,'Route source'!$B$2:$B$365,A86)</x:f>
        <x:v>32</x:v>
      </x:c>
      <x:c r="D86" s="10" t="n">
        <x:f>IFERROR(C86/B86,"")</x:f>
        <x:v>0.015058823529411765</x:v>
      </x:c>
      <x:c r="E86" s="10" t="n">
        <x:f>IFERROR(SUMIFS('Route source'!$G$2:$G$365,'Route source'!$A$2:$A$365,Dashboard!$B$5,'Route source'!$B$2:$B$365,A86)/SUMIFS('Route source'!$E$2:$E$365,'Route source'!$A$2:$A$365,Dashboard!$B$5,'Route source'!$B$2:$B$365,A86),"")</x:f>
        <x:v>0.7443860487338748</x:v>
      </x:c>
      <x:c r="F86" s="7" t="n">
        <x:f>SUMIFS('Route source'!$H$2:$H$365,'Route source'!$A$2:$A$365,Dashboard!$B$5,'Route source'!$B$2:$B$365,A86)</x:f>
        <x:v>535</x:v>
      </x:c>
      <x:c r="G86" s="1" t="n">
        <x:f>SUMIFS('Route source'!$C$2:$C$365,'Route source'!$A$2:$A$365,Dashboard!$B$5,'Route source'!$B$2:$B$365,A86)</x:f>
        <x:v>12</x:v>
      </x:c>
      <x:c r="H86" s="1" t="n">
        <x:f>RANK(C86,$C$7:$C$134,0)</x:f>
        <x:v>72</x:v>
      </x:c>
    </x:row>
    <x:row r="87" ht="23" customHeight="1">
      <x:c r="A87" s="1" t="str">
        <x:v>Melbourne-Newcastle</x:v>
      </x:c>
      <x:c r="B87" s="7" t="n">
        <x:f>SUMIFS('Route source'!$D$2:$D$365,'Route source'!$A$2:$A$365,Dashboard!$B$5,'Route source'!$B$2:$B$365,A87)</x:f>
        <x:v>1807</x:v>
      </x:c>
      <x:c r="C87" s="7" t="n">
        <x:f>SUMIFS('Route source'!$F$2:$F$365,'Route source'!$A$2:$A$365,Dashboard!$B$5,'Route source'!$B$2:$B$365,A87)</x:f>
        <x:v>17</x:v>
      </x:c>
      <x:c r="D87" s="10" t="n">
        <x:f>IFERROR(C87/B87,"")</x:f>
        <x:v>0.009407858328721638</x:v>
      </x:c>
      <x:c r="E87" s="10" t="n">
        <x:f>IFERROR(SUMIFS('Route source'!$G$2:$G$365,'Route source'!$A$2:$A$365,Dashboard!$B$5,'Route source'!$B$2:$B$365,A87)/SUMIFS('Route source'!$E$2:$E$365,'Route source'!$A$2:$A$365,Dashboard!$B$5,'Route source'!$B$2:$B$365,A87),"")</x:f>
        <x:v>0.7335195530726257</x:v>
      </x:c>
      <x:c r="F87" s="7" t="n">
        <x:f>SUMIFS('Route source'!$H$2:$H$365,'Route source'!$A$2:$A$365,Dashboard!$B$5,'Route source'!$B$2:$B$365,A87)</x:f>
        <x:v>477</x:v>
      </x:c>
      <x:c r="G87" s="1" t="n">
        <x:f>SUMIFS('Route source'!$C$2:$C$365,'Route source'!$A$2:$A$365,Dashboard!$B$5,'Route source'!$B$2:$B$365,A87)</x:f>
        <x:v>12</x:v>
      </x:c>
      <x:c r="H87" s="1" t="n">
        <x:f>RANK(C87,$C$7:$C$134,0)</x:f>
        <x:v>87</x:v>
      </x:c>
    </x:row>
    <x:row r="88" ht="23" customHeight="1">
      <x:c r="A88" s="1" t="str">
        <x:v>Melbourne-Perth</x:v>
      </x:c>
      <x:c r="B88" s="7" t="n">
        <x:f>SUMIFS('Route source'!$D$2:$D$365,'Route source'!$A$2:$A$365,Dashboard!$B$5,'Route source'!$B$2:$B$365,A88)</x:f>
        <x:v>6158</x:v>
      </x:c>
      <x:c r="C88" s="7" t="n">
        <x:f>SUMIFS('Route source'!$F$2:$F$365,'Route source'!$A$2:$A$365,Dashboard!$B$5,'Route source'!$B$2:$B$365,A88)</x:f>
        <x:v>54</x:v>
      </x:c>
      <x:c r="D88" s="10" t="n">
        <x:f>IFERROR(C88/B88,"")</x:f>
        <x:v>0.008769080870412472</x:v>
      </x:c>
      <x:c r="E88" s="10" t="n">
        <x:f>IFERROR(SUMIFS('Route source'!$G$2:$G$365,'Route source'!$A$2:$A$365,Dashboard!$B$5,'Route source'!$B$2:$B$365,A88)/SUMIFS('Route source'!$E$2:$E$365,'Route source'!$A$2:$A$365,Dashboard!$B$5,'Route source'!$B$2:$B$365,A88),"")</x:f>
        <x:v>0.6942988204456094</x:v>
      </x:c>
      <x:c r="F88" s="7" t="n">
        <x:f>SUMIFS('Route source'!$H$2:$H$365,'Route source'!$A$2:$A$365,Dashboard!$B$5,'Route source'!$B$2:$B$365,A88)</x:f>
        <x:v>1866</x:v>
      </x:c>
      <x:c r="G88" s="1" t="n">
        <x:f>SUMIFS('Route source'!$C$2:$C$365,'Route source'!$A$2:$A$365,Dashboard!$B$5,'Route source'!$B$2:$B$365,A88)</x:f>
        <x:v>12</x:v>
      </x:c>
      <x:c r="H88" s="1" t="n">
        <x:f>RANK(C88,$C$7:$C$134,0)</x:f>
        <x:v>54</x:v>
      </x:c>
    </x:row>
    <x:row r="89" ht="23" customHeight="1">
      <x:c r="A89" s="1" t="str">
        <x:v>Melbourne-Sunshine Coast</x:v>
      </x:c>
      <x:c r="B89" s="7" t="n">
        <x:f>SUMIFS('Route source'!$D$2:$D$365,'Route source'!$A$2:$A$365,Dashboard!$B$5,'Route source'!$B$2:$B$365,A89)</x:f>
        <x:v>2302</x:v>
      </x:c>
      <x:c r="C89" s="7" t="n">
        <x:f>SUMIFS('Route source'!$F$2:$F$365,'Route source'!$A$2:$A$365,Dashboard!$B$5,'Route source'!$B$2:$B$365,A89)</x:f>
        <x:v>9</x:v>
      </x:c>
      <x:c r="D89" s="10" t="n">
        <x:f>IFERROR(C89/B89,"")</x:f>
        <x:v>0.003909643788010426</x:v>
      </x:c>
      <x:c r="E89" s="10" t="n">
        <x:f>IFERROR(SUMIFS('Route source'!$G$2:$G$365,'Route source'!$A$2:$A$365,Dashboard!$B$5,'Route source'!$B$2:$B$365,A89)/SUMIFS('Route source'!$E$2:$E$365,'Route source'!$A$2:$A$365,Dashboard!$B$5,'Route source'!$B$2:$B$365,A89),"")</x:f>
        <x:v>0.7893589184474488</x:v>
      </x:c>
      <x:c r="F89" s="7" t="n">
        <x:f>SUMIFS('Route source'!$H$2:$H$365,'Route source'!$A$2:$A$365,Dashboard!$B$5,'Route source'!$B$2:$B$365,A89)</x:f>
        <x:v>483</x:v>
      </x:c>
      <x:c r="G89" s="1" t="n">
        <x:f>SUMIFS('Route source'!$C$2:$C$365,'Route source'!$A$2:$A$365,Dashboard!$B$5,'Route source'!$B$2:$B$365,A89)</x:f>
        <x:v>12</x:v>
      </x:c>
      <x:c r="H89" s="1" t="n">
        <x:f>RANK(C89,$C$7:$C$134,0)</x:f>
        <x:v>98</x:v>
      </x:c>
    </x:row>
    <x:row r="90" ht="23" customHeight="1">
      <x:c r="A90" s="1" t="str">
        <x:v>Melbourne-Sydney</x:v>
      </x:c>
      <x:c r="B90" s="7" t="n">
        <x:f>SUMIFS('Route source'!$D$2:$D$365,'Route source'!$A$2:$A$365,Dashboard!$B$5,'Route source'!$B$2:$B$365,A90)</x:f>
        <x:v>25369</x:v>
      </x:c>
      <x:c r="C90" s="7" t="n">
        <x:f>SUMIFS('Route source'!$F$2:$F$365,'Route source'!$A$2:$A$365,Dashboard!$B$5,'Route source'!$B$2:$B$365,A90)</x:f>
        <x:v>1087</x:v>
      </x:c>
      <x:c r="D90" s="10" t="n">
        <x:f>IFERROR(C90/B90,"")</x:f>
        <x:v>0.04284756986873744</x:v>
      </x:c>
      <x:c r="E90" s="10" t="n">
        <x:f>IFERROR(SUMIFS('Route source'!$G$2:$G$365,'Route source'!$A$2:$A$365,Dashboard!$B$5,'Route source'!$B$2:$B$365,A90)/SUMIFS('Route source'!$E$2:$E$365,'Route source'!$A$2:$A$365,Dashboard!$B$5,'Route source'!$B$2:$B$365,A90),"")</x:f>
        <x:v>0.7501853224610823</x:v>
      </x:c>
      <x:c r="F90" s="7" t="n">
        <x:f>SUMIFS('Route source'!$H$2:$H$365,'Route source'!$A$2:$A$365,Dashboard!$B$5,'Route source'!$B$2:$B$365,A90)</x:f>
        <x:v>6066</x:v>
      </x:c>
      <x:c r="G90" s="1" t="n">
        <x:f>SUMIFS('Route source'!$C$2:$C$365,'Route source'!$A$2:$A$365,Dashboard!$B$5,'Route source'!$B$2:$B$365,A90)</x:f>
        <x:v>12</x:v>
      </x:c>
      <x:c r="H90" s="1" t="n">
        <x:f>RANK(C90,$C$7:$C$134,0)</x:f>
        <x:v>2</x:v>
      </x:c>
    </x:row>
    <x:row r="91" ht="23" customHeight="1">
      <x:c r="A91" s="1" t="str">
        <x:v>Mildura-Melbourne</x:v>
      </x:c>
      <x:c r="B91" s="7" t="n">
        <x:f>SUMIFS('Route source'!$D$2:$D$365,'Route source'!$A$2:$A$365,Dashboard!$B$5,'Route source'!$B$2:$B$365,A91)</x:f>
        <x:v>2126</x:v>
      </x:c>
      <x:c r="C91" s="7" t="n">
        <x:f>SUMIFS('Route source'!$F$2:$F$365,'Route source'!$A$2:$A$365,Dashboard!$B$5,'Route source'!$B$2:$B$365,A91)</x:f>
        <x:v>39</x:v>
      </x:c>
      <x:c r="D91" s="10" t="n">
        <x:f>IFERROR(C91/B91,"")</x:f>
        <x:v>0.018344308560677328</x:v>
      </x:c>
      <x:c r="E91" s="10" t="n">
        <x:f>IFERROR(SUMIFS('Route source'!$G$2:$G$365,'Route source'!$A$2:$A$365,Dashboard!$B$5,'Route source'!$B$2:$B$365,A91)/SUMIFS('Route source'!$E$2:$E$365,'Route source'!$A$2:$A$365,Dashboard!$B$5,'Route source'!$B$2:$B$365,A91),"")</x:f>
        <x:v>0.753713464302827</x:v>
      </x:c>
      <x:c r="F91" s="7" t="n">
        <x:f>SUMIFS('Route source'!$H$2:$H$365,'Route source'!$A$2:$A$365,Dashboard!$B$5,'Route source'!$B$2:$B$365,A91)</x:f>
        <x:v>514</x:v>
      </x:c>
      <x:c r="G91" s="1" t="n">
        <x:f>SUMIFS('Route source'!$C$2:$C$365,'Route source'!$A$2:$A$365,Dashboard!$B$5,'Route source'!$B$2:$B$365,A91)</x:f>
        <x:v>12</x:v>
      </x:c>
      <x:c r="H91" s="1" t="n">
        <x:f>RANK(C91,$C$7:$C$134,0)</x:f>
        <x:v>68</x:v>
      </x:c>
    </x:row>
    <x:row r="92" ht="23" customHeight="1">
      <x:c r="A92" s="1" t="str">
        <x:v>Mount Isa-Brisbane</x:v>
      </x:c>
      <x:c r="B92" s="7" t="n">
        <x:f>SUMIFS('Route source'!$D$2:$D$365,'Route source'!$A$2:$A$365,Dashboard!$B$5,'Route source'!$B$2:$B$365,A92)</x:f>
        <x:v>971</x:v>
      </x:c>
      <x:c r="C92" s="7" t="n">
        <x:f>SUMIFS('Route source'!$F$2:$F$365,'Route source'!$A$2:$A$365,Dashboard!$B$5,'Route source'!$B$2:$B$365,A92)</x:f>
        <x:v>19</x:v>
      </x:c>
      <x:c r="D92" s="10" t="n">
        <x:f>IFERROR(C92/B92,"")</x:f>
        <x:v>0.01956745623069001</x:v>
      </x:c>
      <x:c r="E92" s="10" t="n">
        <x:f>IFERROR(SUMIFS('Route source'!$G$2:$G$365,'Route source'!$A$2:$A$365,Dashboard!$B$5,'Route source'!$B$2:$B$365,A92)/SUMIFS('Route source'!$E$2:$E$365,'Route source'!$A$2:$A$365,Dashboard!$B$5,'Route source'!$B$2:$B$365,A92),"")</x:f>
        <x:v>0.7699579831932774</x:v>
      </x:c>
      <x:c r="F92" s="7" t="n">
        <x:f>SUMIFS('Route source'!$H$2:$H$365,'Route source'!$A$2:$A$365,Dashboard!$B$5,'Route source'!$B$2:$B$365,A92)</x:f>
        <x:v>219</x:v>
      </x:c>
      <x:c r="G92" s="1" t="n">
        <x:f>SUMIFS('Route source'!$C$2:$C$365,'Route source'!$A$2:$A$365,Dashboard!$B$5,'Route source'!$B$2:$B$365,A92)</x:f>
        <x:v>12</x:v>
      </x:c>
      <x:c r="H92" s="1" t="n">
        <x:f>RANK(C92,$C$7:$C$134,0)</x:f>
        <x:v>82</x:v>
      </x:c>
    </x:row>
    <x:row r="93" ht="23" customHeight="1">
      <x:c r="A93" s="1" t="str">
        <x:v>Newcastle-Brisbane</x:v>
      </x:c>
      <x:c r="B93" s="7" t="n">
        <x:f>SUMIFS('Route source'!$D$2:$D$365,'Route source'!$A$2:$A$365,Dashboard!$B$5,'Route source'!$B$2:$B$365,A93)</x:f>
        <x:v>2654</x:v>
      </x:c>
      <x:c r="C93" s="7" t="n">
        <x:f>SUMIFS('Route source'!$F$2:$F$365,'Route source'!$A$2:$A$365,Dashboard!$B$5,'Route source'!$B$2:$B$365,A93)</x:f>
        <x:v>54</x:v>
      </x:c>
      <x:c r="D93" s="10" t="n">
        <x:f>IFERROR(C93/B93,"")</x:f>
        <x:v>0.020346646571213264</x:v>
      </x:c>
      <x:c r="E93" s="10" t="n">
        <x:f>IFERROR(SUMIFS('Route source'!$G$2:$G$365,'Route source'!$A$2:$A$365,Dashboard!$B$5,'Route source'!$B$2:$B$365,A93)/SUMIFS('Route source'!$E$2:$E$365,'Route source'!$A$2:$A$365,Dashboard!$B$5,'Route source'!$B$2:$B$365,A93),"")</x:f>
        <x:v>0.7788461538461539</x:v>
      </x:c>
      <x:c r="F93" s="7" t="n">
        <x:f>SUMIFS('Route source'!$H$2:$H$365,'Route source'!$A$2:$A$365,Dashboard!$B$5,'Route source'!$B$2:$B$365,A93)</x:f>
        <x:v>575</x:v>
      </x:c>
      <x:c r="G93" s="1" t="n">
        <x:f>SUMIFS('Route source'!$C$2:$C$365,'Route source'!$A$2:$A$365,Dashboard!$B$5,'Route source'!$B$2:$B$365,A93)</x:f>
        <x:v>12</x:v>
      </x:c>
      <x:c r="H93" s="1" t="n">
        <x:f>RANK(C93,$C$7:$C$134,0)</x:f>
        <x:v>54</x:v>
      </x:c>
    </x:row>
    <x:row r="94" ht="23" customHeight="1">
      <x:c r="A94" s="1" t="str">
        <x:v>Newcastle-Melbourne</x:v>
      </x:c>
      <x:c r="B94" s="7" t="n">
        <x:f>SUMIFS('Route source'!$D$2:$D$365,'Route source'!$A$2:$A$365,Dashboard!$B$5,'Route source'!$B$2:$B$365,A94)</x:f>
        <x:v>1812</x:v>
      </x:c>
      <x:c r="C94" s="7" t="n">
        <x:f>SUMIFS('Route source'!$F$2:$F$365,'Route source'!$A$2:$A$365,Dashboard!$B$5,'Route source'!$B$2:$B$365,A94)</x:f>
        <x:v>27</x:v>
      </x:c>
      <x:c r="D94" s="10" t="n">
        <x:f>IFERROR(C94/B94,"")</x:f>
        <x:v>0.014900662251655629</x:v>
      </x:c>
      <x:c r="E94" s="10" t="n">
        <x:f>IFERROR(SUMIFS('Route source'!$G$2:$G$365,'Route source'!$A$2:$A$365,Dashboard!$B$5,'Route source'!$B$2:$B$365,A94)/SUMIFS('Route source'!$E$2:$E$365,'Route source'!$A$2:$A$365,Dashboard!$B$5,'Route source'!$B$2:$B$365,A94),"")</x:f>
        <x:v>0.7624649859943977</x:v>
      </x:c>
      <x:c r="F94" s="7" t="n">
        <x:f>SUMIFS('Route source'!$H$2:$H$365,'Route source'!$A$2:$A$365,Dashboard!$B$5,'Route source'!$B$2:$B$365,A94)</x:f>
        <x:v>424</x:v>
      </x:c>
      <x:c r="G94" s="1" t="n">
        <x:f>SUMIFS('Route source'!$C$2:$C$365,'Route source'!$A$2:$A$365,Dashboard!$B$5,'Route source'!$B$2:$B$365,A94)</x:f>
        <x:v>12</x:v>
      </x:c>
      <x:c r="H94" s="1" t="n">
        <x:f>RANK(C94,$C$7:$C$134,0)</x:f>
        <x:v>74</x:v>
      </x:c>
    </x:row>
    <x:row r="95" ht="23" customHeight="1">
      <x:c r="A95" s="1" t="str">
        <x:v>Newman-Perth</x:v>
      </x:c>
      <x:c r="B95" s="7" t="n">
        <x:f>SUMIFS('Route source'!$D$2:$D$365,'Route source'!$A$2:$A$365,Dashboard!$B$5,'Route source'!$B$2:$B$365,A95)</x:f>
        <x:v>2147</x:v>
      </x:c>
      <x:c r="C95" s="7" t="n">
        <x:f>SUMIFS('Route source'!$F$2:$F$365,'Route source'!$A$2:$A$365,Dashboard!$B$5,'Route source'!$B$2:$B$365,A95)</x:f>
        <x:v>26</x:v>
      </x:c>
      <x:c r="D95" s="10" t="n">
        <x:f>IFERROR(C95/B95,"")</x:f>
        <x:v>0.012109920819748486</x:v>
      </x:c>
      <x:c r="E95" s="10" t="n">
        <x:f>IFERROR(SUMIFS('Route source'!$G$2:$G$365,'Route source'!$A$2:$A$365,Dashboard!$B$5,'Route source'!$B$2:$B$365,A95)/SUMIFS('Route source'!$E$2:$E$365,'Route source'!$A$2:$A$365,Dashboard!$B$5,'Route source'!$B$2:$B$365,A95),"")</x:f>
        <x:v>0.7538896746817539</x:v>
      </x:c>
      <x:c r="F95" s="7" t="n">
        <x:f>SUMIFS('Route source'!$H$2:$H$365,'Route source'!$A$2:$A$365,Dashboard!$B$5,'Route source'!$B$2:$B$365,A95)</x:f>
        <x:v>522</x:v>
      </x:c>
      <x:c r="G95" s="1" t="n">
        <x:f>SUMIFS('Route source'!$C$2:$C$365,'Route source'!$A$2:$A$365,Dashboard!$B$5,'Route source'!$B$2:$B$365,A95)</x:f>
        <x:v>12</x:v>
      </x:c>
      <x:c r="H95" s="1" t="n">
        <x:f>RANK(C95,$C$7:$C$134,0)</x:f>
        <x:v>75</x:v>
      </x:c>
    </x:row>
    <x:row r="96" ht="23" customHeight="1">
      <x:c r="A96" s="1" t="str">
        <x:v>Perth-Adelaide</x:v>
      </x:c>
      <x:c r="B96" s="7" t="n">
        <x:f>SUMIFS('Route source'!$D$2:$D$365,'Route source'!$A$2:$A$365,Dashboard!$B$5,'Route source'!$B$2:$B$365,A96)</x:f>
        <x:v>2289</x:v>
      </x:c>
      <x:c r="C96" s="7" t="n">
        <x:f>SUMIFS('Route source'!$F$2:$F$365,'Route source'!$A$2:$A$365,Dashboard!$B$5,'Route source'!$B$2:$B$365,A96)</x:f>
        <x:v>10</x:v>
      </x:c>
      <x:c r="D96" s="10" t="n">
        <x:f>IFERROR(C96/B96,"")</x:f>
        <x:v>0.00436871996505024</x:v>
      </x:c>
      <x:c r="E96" s="10" t="n">
        <x:f>IFERROR(SUMIFS('Route source'!$G$2:$G$365,'Route source'!$A$2:$A$365,Dashboard!$B$5,'Route source'!$B$2:$B$365,A96)/SUMIFS('Route source'!$E$2:$E$365,'Route source'!$A$2:$A$365,Dashboard!$B$5,'Route source'!$B$2:$B$365,A96),"")</x:f>
        <x:v>0.8157086441421676</x:v>
      </x:c>
      <x:c r="F96" s="7" t="n">
        <x:f>SUMIFS('Route source'!$H$2:$H$365,'Route source'!$A$2:$A$365,Dashboard!$B$5,'Route source'!$B$2:$B$365,A96)</x:f>
        <x:v>420</x:v>
      </x:c>
      <x:c r="G96" s="1" t="n">
        <x:f>SUMIFS('Route source'!$C$2:$C$365,'Route source'!$A$2:$A$365,Dashboard!$B$5,'Route source'!$B$2:$B$365,A96)</x:f>
        <x:v>12</x:v>
      </x:c>
      <x:c r="H96" s="1" t="n">
        <x:f>RANK(C96,$C$7:$C$134,0)</x:f>
        <x:v>96</x:v>
      </x:c>
    </x:row>
    <x:row r="97" ht="23" customHeight="1">
      <x:c r="A97" s="1" t="str">
        <x:v>Perth-Brisbane</x:v>
      </x:c>
      <x:c r="B97" s="7" t="n">
        <x:f>SUMIFS('Route source'!$D$2:$D$365,'Route source'!$A$2:$A$365,Dashboard!$B$5,'Route source'!$B$2:$B$365,A97)</x:f>
        <x:v>3826</x:v>
      </x:c>
      <x:c r="C97" s="7" t="n">
        <x:f>SUMIFS('Route source'!$F$2:$F$365,'Route source'!$A$2:$A$365,Dashboard!$B$5,'Route source'!$B$2:$B$365,A97)</x:f>
        <x:v>72</x:v>
      </x:c>
      <x:c r="D97" s="10" t="n">
        <x:f>IFERROR(C97/B97,"")</x:f>
        <x:v>0.01881860951385259</x:v>
      </x:c>
      <x:c r="E97" s="10" t="n">
        <x:f>IFERROR(SUMIFS('Route source'!$G$2:$G$365,'Route source'!$A$2:$A$365,Dashboard!$B$5,'Route source'!$B$2:$B$365,A97)/SUMIFS('Route source'!$E$2:$E$365,'Route source'!$A$2:$A$365,Dashboard!$B$5,'Route source'!$B$2:$B$365,A97),"")</x:f>
        <x:v>0.7357485348961108</x:v>
      </x:c>
      <x:c r="F97" s="7" t="n">
        <x:f>SUMIFS('Route source'!$H$2:$H$365,'Route source'!$A$2:$A$365,Dashboard!$B$5,'Route source'!$B$2:$B$365,A97)</x:f>
        <x:v>992</x:v>
      </x:c>
      <x:c r="G97" s="1" t="n">
        <x:f>SUMIFS('Route source'!$C$2:$C$365,'Route source'!$A$2:$A$365,Dashboard!$B$5,'Route source'!$B$2:$B$365,A97)</x:f>
        <x:v>12</x:v>
      </x:c>
      <x:c r="H97" s="1" t="n">
        <x:f>RANK(C97,$C$7:$C$134,0)</x:f>
        <x:v>40</x:v>
      </x:c>
    </x:row>
    <x:row r="98" ht="23" customHeight="1">
      <x:c r="A98" s="1" t="str">
        <x:v>Perth-Broome</x:v>
      </x:c>
      <x:c r="B98" s="7" t="n">
        <x:f>SUMIFS('Route source'!$D$2:$D$365,'Route source'!$A$2:$A$365,Dashboard!$B$5,'Route source'!$B$2:$B$365,A98)</x:f>
        <x:v>1597</x:v>
      </x:c>
      <x:c r="C98" s="7" t="n">
        <x:f>SUMIFS('Route source'!$F$2:$F$365,'Route source'!$A$2:$A$365,Dashboard!$B$5,'Route source'!$B$2:$B$365,A98)</x:f>
        <x:v>13</x:v>
      </x:c>
      <x:c r="D98" s="10" t="n">
        <x:f>IFERROR(C98/B98,"")</x:f>
        <x:v>0.008140262993112084</x:v>
      </x:c>
      <x:c r="E98" s="10" t="n">
        <x:f>IFERROR(SUMIFS('Route source'!$G$2:$G$365,'Route source'!$A$2:$A$365,Dashboard!$B$5,'Route source'!$B$2:$B$365,A98)/SUMIFS('Route source'!$E$2:$E$365,'Route source'!$A$2:$A$365,Dashboard!$B$5,'Route source'!$B$2:$B$365,A98),"")</x:f>
        <x:v>0.7941919191919192</x:v>
      </x:c>
      <x:c r="F98" s="7" t="n">
        <x:f>SUMIFS('Route source'!$H$2:$H$365,'Route source'!$A$2:$A$365,Dashboard!$B$5,'Route source'!$B$2:$B$365,A98)</x:f>
        <x:v>326</x:v>
      </x:c>
      <x:c r="G98" s="1" t="n">
        <x:f>SUMIFS('Route source'!$C$2:$C$365,'Route source'!$A$2:$A$365,Dashboard!$B$5,'Route source'!$B$2:$B$365,A98)</x:f>
        <x:v>12</x:v>
      </x:c>
      <x:c r="H98" s="1" t="n">
        <x:f>RANK(C98,$C$7:$C$134,0)</x:f>
        <x:v>90</x:v>
      </x:c>
    </x:row>
    <x:row r="99" ht="23" customHeight="1">
      <x:c r="A99" s="1" t="str">
        <x:v>Perth-Darwin</x:v>
      </x:c>
      <x:c r="B99" s="7" t="n">
        <x:f>SUMIFS('Route source'!$D$2:$D$365,'Route source'!$A$2:$A$365,Dashboard!$B$5,'Route source'!$B$2:$B$365,A99)</x:f>
        <x:v>766</x:v>
      </x:c>
      <x:c r="C99" s="7" t="n">
        <x:f>SUMIFS('Route source'!$F$2:$F$365,'Route source'!$A$2:$A$365,Dashboard!$B$5,'Route source'!$B$2:$B$365,A99)</x:f>
        <x:v>5</x:v>
      </x:c>
      <x:c r="D99" s="10" t="n">
        <x:f>IFERROR(C99/B99,"")</x:f>
        <x:v>0.006527415143603133</x:v>
      </x:c>
      <x:c r="E99" s="10" t="n">
        <x:f>IFERROR(SUMIFS('Route source'!$G$2:$G$365,'Route source'!$A$2:$A$365,Dashboard!$B$5,'Route source'!$B$2:$B$365,A99)/SUMIFS('Route source'!$E$2:$E$365,'Route source'!$A$2:$A$365,Dashboard!$B$5,'Route source'!$B$2:$B$365,A99),"")</x:f>
        <x:v>0.80946123521682</x:v>
      </x:c>
      <x:c r="F99" s="7" t="n">
        <x:f>SUMIFS('Route source'!$H$2:$H$365,'Route source'!$A$2:$A$365,Dashboard!$B$5,'Route source'!$B$2:$B$365,A99)</x:f>
        <x:v>145</x:v>
      </x:c>
      <x:c r="G99" s="1" t="n">
        <x:f>SUMIFS('Route source'!$C$2:$C$365,'Route source'!$A$2:$A$365,Dashboard!$B$5,'Route source'!$B$2:$B$365,A99)</x:f>
        <x:v>12</x:v>
      </x:c>
      <x:c r="H99" s="1" t="n">
        <x:f>RANK(C99,$C$7:$C$134,0)</x:f>
        <x:v>112</x:v>
      </x:c>
    </x:row>
    <x:row r="100" ht="23" customHeight="1">
      <x:c r="A100" s="1" t="str">
        <x:v>Perth-Kalgoorlie</x:v>
      </x:c>
      <x:c r="B100" s="7" t="n">
        <x:f>SUMIFS('Route source'!$D$2:$D$365,'Route source'!$A$2:$A$365,Dashboard!$B$5,'Route source'!$B$2:$B$365,A100)</x:f>
        <x:v>2217</x:v>
      </x:c>
      <x:c r="C100" s="7" t="n">
        <x:f>SUMIFS('Route source'!$F$2:$F$365,'Route source'!$A$2:$A$365,Dashboard!$B$5,'Route source'!$B$2:$B$365,A100)</x:f>
        <x:v>71</x:v>
      </x:c>
      <x:c r="D100" s="10" t="n">
        <x:f>IFERROR(C100/B100,"")</x:f>
        <x:v>0.032025259359494816</x:v>
      </x:c>
      <x:c r="E100" s="10" t="n">
        <x:f>IFERROR(SUMIFS('Route source'!$G$2:$G$365,'Route source'!$A$2:$A$365,Dashboard!$B$5,'Route source'!$B$2:$B$365,A100)/SUMIFS('Route source'!$E$2:$E$365,'Route source'!$A$2:$A$365,Dashboard!$B$5,'Route source'!$B$2:$B$365,A100),"")</x:f>
        <x:v>0.7898415657036346</x:v>
      </x:c>
      <x:c r="F100" s="7" t="n">
        <x:f>SUMIFS('Route source'!$H$2:$H$365,'Route source'!$A$2:$A$365,Dashboard!$B$5,'Route source'!$B$2:$B$365,A100)</x:f>
        <x:v>451</x:v>
      </x:c>
      <x:c r="G100" s="1" t="n">
        <x:f>SUMIFS('Route source'!$C$2:$C$365,'Route source'!$A$2:$A$365,Dashboard!$B$5,'Route source'!$B$2:$B$365,A100)</x:f>
        <x:v>12</x:v>
      </x:c>
      <x:c r="H100" s="1" t="n">
        <x:f>RANK(C100,$C$7:$C$134,0)</x:f>
        <x:v>41</x:v>
      </x:c>
    </x:row>
    <x:row r="101" ht="23" customHeight="1">
      <x:c r="A101" s="1" t="str">
        <x:v>Perth-Karratha</x:v>
      </x:c>
      <x:c r="B101" s="7" t="n">
        <x:f>SUMIFS('Route source'!$D$2:$D$365,'Route source'!$A$2:$A$365,Dashboard!$B$5,'Route source'!$B$2:$B$365,A101)</x:f>
        <x:v>2953</x:v>
      </x:c>
      <x:c r="C101" s="7" t="n">
        <x:f>SUMIFS('Route source'!$F$2:$F$365,'Route source'!$A$2:$A$365,Dashboard!$B$5,'Route source'!$B$2:$B$365,A101)</x:f>
        <x:v>36</x:v>
      </x:c>
      <x:c r="D101" s="10" t="n">
        <x:f>IFERROR(C101/B101,"")</x:f>
        <x:v>0.012190992211310531</x:v>
      </x:c>
      <x:c r="E101" s="10" t="n">
        <x:f>IFERROR(SUMIFS('Route source'!$G$2:$G$365,'Route source'!$A$2:$A$365,Dashboard!$B$5,'Route source'!$B$2:$B$365,A101)/SUMIFS('Route source'!$E$2:$E$365,'Route source'!$A$2:$A$365,Dashboard!$B$5,'Route source'!$B$2:$B$365,A101),"")</x:f>
        <x:v>0.8093932122043195</x:v>
      </x:c>
      <x:c r="F101" s="7" t="n">
        <x:f>SUMIFS('Route source'!$H$2:$H$365,'Route source'!$A$2:$A$365,Dashboard!$B$5,'Route source'!$B$2:$B$365,A101)</x:f>
        <x:v>556</x:v>
      </x:c>
      <x:c r="G101" s="1" t="n">
        <x:f>SUMIFS('Route source'!$C$2:$C$365,'Route source'!$A$2:$A$365,Dashboard!$B$5,'Route source'!$B$2:$B$365,A101)</x:f>
        <x:v>12</x:v>
      </x:c>
      <x:c r="H101" s="1" t="n">
        <x:f>RANK(C101,$C$7:$C$134,0)</x:f>
        <x:v>70</x:v>
      </x:c>
    </x:row>
    <x:row r="102" ht="23" customHeight="1">
      <x:c r="A102" s="1" t="str">
        <x:v>Perth-Melbourne</x:v>
      </x:c>
      <x:c r="B102" s="7" t="n">
        <x:f>SUMIFS('Route source'!$D$2:$D$365,'Route source'!$A$2:$A$365,Dashboard!$B$5,'Route source'!$B$2:$B$365,A102)</x:f>
        <x:v>6311</x:v>
      </x:c>
      <x:c r="C102" s="7" t="n">
        <x:f>SUMIFS('Route source'!$F$2:$F$365,'Route source'!$A$2:$A$365,Dashboard!$B$5,'Route source'!$B$2:$B$365,A102)</x:f>
        <x:v>80</x:v>
      </x:c>
      <x:c r="D102" s="10" t="n">
        <x:f>IFERROR(C102/B102,"")</x:f>
        <x:v>0.01267627951196324</x:v>
      </x:c>
      <x:c r="E102" s="10" t="n">
        <x:f>IFERROR(SUMIFS('Route source'!$G$2:$G$365,'Route source'!$A$2:$A$365,Dashboard!$B$5,'Route source'!$B$2:$B$365,A102)/SUMIFS('Route source'!$E$2:$E$365,'Route source'!$A$2:$A$365,Dashboard!$B$5,'Route source'!$B$2:$B$365,A102),"")</x:f>
        <x:v>0.7778847696998876</x:v>
      </x:c>
      <x:c r="F102" s="7" t="n">
        <x:f>SUMIFS('Route source'!$H$2:$H$365,'Route source'!$A$2:$A$365,Dashboard!$B$5,'Route source'!$B$2:$B$365,A102)</x:f>
        <x:v>1384</x:v>
      </x:c>
      <x:c r="G102" s="1" t="n">
        <x:f>SUMIFS('Route source'!$C$2:$C$365,'Route source'!$A$2:$A$365,Dashboard!$B$5,'Route source'!$B$2:$B$365,A102)</x:f>
        <x:v>12</x:v>
      </x:c>
      <x:c r="H102" s="1" t="n">
        <x:f>RANK(C102,$C$7:$C$134,0)</x:f>
        <x:v>34</x:v>
      </x:c>
    </x:row>
    <x:row r="103" ht="23" customHeight="1">
      <x:c r="A103" s="1" t="str">
        <x:v>Perth-Newman</x:v>
      </x:c>
      <x:c r="B103" s="7" t="n">
        <x:f>SUMIFS('Route source'!$D$2:$D$365,'Route source'!$A$2:$A$365,Dashboard!$B$5,'Route source'!$B$2:$B$365,A103)</x:f>
        <x:v>2143</x:v>
      </x:c>
      <x:c r="C103" s="7" t="n">
        <x:f>SUMIFS('Route source'!$F$2:$F$365,'Route source'!$A$2:$A$365,Dashboard!$B$5,'Route source'!$B$2:$B$365,A103)</x:f>
        <x:v>8</x:v>
      </x:c>
      <x:c r="D103" s="10" t="n">
        <x:f>IFERROR(C103/B103,"")</x:f>
        <x:v>0.003733084461035931</x:v>
      </x:c>
      <x:c r="E103" s="10" t="n">
        <x:f>IFERROR(SUMIFS('Route source'!$G$2:$G$365,'Route source'!$A$2:$A$365,Dashboard!$B$5,'Route source'!$B$2:$B$365,A103)/SUMIFS('Route source'!$E$2:$E$365,'Route source'!$A$2:$A$365,Dashboard!$B$5,'Route source'!$B$2:$B$365,A103),"")</x:f>
        <x:v>0.8482435597189696</x:v>
      </x:c>
      <x:c r="F103" s="7" t="n">
        <x:f>SUMIFS('Route source'!$H$2:$H$365,'Route source'!$A$2:$A$365,Dashboard!$B$5,'Route source'!$B$2:$B$365,A103)</x:f>
        <x:v>324</x:v>
      </x:c>
      <x:c r="G103" s="1" t="n">
        <x:f>SUMIFS('Route source'!$C$2:$C$365,'Route source'!$A$2:$A$365,Dashboard!$B$5,'Route source'!$B$2:$B$365,A103)</x:f>
        <x:v>12</x:v>
      </x:c>
      <x:c r="H103" s="1" t="n">
        <x:f>RANK(C103,$C$7:$C$134,0)</x:f>
        <x:v>104</x:v>
      </x:c>
    </x:row>
    <x:row r="104" ht="23" customHeight="1">
      <x:c r="A104" s="1" t="str">
        <x:v>Perth-Port Hedland</x:v>
      </x:c>
      <x:c r="B104" s="7" t="n">
        <x:f>SUMIFS('Route source'!$D$2:$D$365,'Route source'!$A$2:$A$365,Dashboard!$B$5,'Route source'!$B$2:$B$365,A104)</x:f>
        <x:v>2437</x:v>
      </x:c>
      <x:c r="C104" s="7" t="n">
        <x:f>SUMIFS('Route source'!$F$2:$F$365,'Route source'!$A$2:$A$365,Dashboard!$B$5,'Route source'!$B$2:$B$365,A104)</x:f>
        <x:v>48</x:v>
      </x:c>
      <x:c r="D104" s="10" t="n">
        <x:f>IFERROR(C104/B104,"")</x:f>
        <x:v>0.019696347968814115</x:v>
      </x:c>
      <x:c r="E104" s="10" t="n">
        <x:f>IFERROR(SUMIFS('Route source'!$G$2:$G$365,'Route source'!$A$2:$A$365,Dashboard!$B$5,'Route source'!$B$2:$B$365,A104)/SUMIFS('Route source'!$E$2:$E$365,'Route source'!$A$2:$A$365,Dashboard!$B$5,'Route source'!$B$2:$B$365,A104),"")</x:f>
        <x:v>0.833821682712432</x:v>
      </x:c>
      <x:c r="F104" s="7" t="n">
        <x:f>SUMIFS('Route source'!$H$2:$H$365,'Route source'!$A$2:$A$365,Dashboard!$B$5,'Route source'!$B$2:$B$365,A104)</x:f>
        <x:v>397</x:v>
      </x:c>
      <x:c r="G104" s="1" t="n">
        <x:f>SUMIFS('Route source'!$C$2:$C$365,'Route source'!$A$2:$A$365,Dashboard!$B$5,'Route source'!$B$2:$B$365,A104)</x:f>
        <x:v>12</x:v>
      </x:c>
      <x:c r="H104" s="1" t="n">
        <x:f>RANK(C104,$C$7:$C$134,0)</x:f>
        <x:v>63</x:v>
      </x:c>
    </x:row>
    <x:row r="105" ht="23" customHeight="1">
      <x:c r="A105" s="1" t="str">
        <x:v>Perth-Sydney</x:v>
      </x:c>
      <x:c r="B105" s="7" t="n">
        <x:f>SUMIFS('Route source'!$D$2:$D$365,'Route source'!$A$2:$A$365,Dashboard!$B$5,'Route source'!$B$2:$B$365,A105)</x:f>
        <x:v>5177</x:v>
      </x:c>
      <x:c r="C105" s="7" t="n">
        <x:f>SUMIFS('Route source'!$F$2:$F$365,'Route source'!$A$2:$A$365,Dashboard!$B$5,'Route source'!$B$2:$B$365,A105)</x:f>
        <x:v>86</x:v>
      </x:c>
      <x:c r="D105" s="10" t="n">
        <x:f>IFERROR(C105/B105,"")</x:f>
        <x:v>0.016611937415491596</x:v>
      </x:c>
      <x:c r="E105" s="10" t="n">
        <x:f>IFERROR(SUMIFS('Route source'!$G$2:$G$365,'Route source'!$A$2:$A$365,Dashboard!$B$5,'Route source'!$B$2:$B$365,A105)/SUMIFS('Route source'!$E$2:$E$365,'Route source'!$A$2:$A$365,Dashboard!$B$5,'Route source'!$B$2:$B$365,A105),"")</x:f>
        <x:v>0.7680219996071499</x:v>
      </x:c>
      <x:c r="F105" s="7" t="n">
        <x:f>SUMIFS('Route source'!$H$2:$H$365,'Route source'!$A$2:$A$365,Dashboard!$B$5,'Route source'!$B$2:$B$365,A105)</x:f>
        <x:v>1181</x:v>
      </x:c>
      <x:c r="G105" s="1" t="n">
        <x:f>SUMIFS('Route source'!$C$2:$C$365,'Route source'!$A$2:$A$365,Dashboard!$B$5,'Route source'!$B$2:$B$365,A105)</x:f>
        <x:v>12</x:v>
      </x:c>
      <x:c r="H105" s="1" t="n">
        <x:f>RANK(C105,$C$7:$C$134,0)</x:f>
        <x:v>28</x:v>
      </x:c>
    </x:row>
    <x:row r="106" ht="23" customHeight="1">
      <x:c r="A106" s="1" t="str">
        <x:v>Port Hedland-Perth</x:v>
      </x:c>
      <x:c r="B106" s="7" t="n">
        <x:f>SUMIFS('Route source'!$D$2:$D$365,'Route source'!$A$2:$A$365,Dashboard!$B$5,'Route source'!$B$2:$B$365,A106)</x:f>
        <x:v>2432</x:v>
      </x:c>
      <x:c r="C106" s="7" t="n">
        <x:f>SUMIFS('Route source'!$F$2:$F$365,'Route source'!$A$2:$A$365,Dashboard!$B$5,'Route source'!$B$2:$B$365,A106)</x:f>
        <x:v>73</x:v>
      </x:c>
      <x:c r="D106" s="10" t="n">
        <x:f>IFERROR(C106/B106,"")</x:f>
        <x:v>0.030016447368421052</x:v>
      </x:c>
      <x:c r="E106" s="10" t="n">
        <x:f>IFERROR(SUMIFS('Route source'!$G$2:$G$365,'Route source'!$A$2:$A$365,Dashboard!$B$5,'Route source'!$B$2:$B$365,A106)/SUMIFS('Route source'!$E$2:$E$365,'Route source'!$A$2:$A$365,Dashboard!$B$5,'Route source'!$B$2:$B$365,A106),"")</x:f>
        <x:v>0.7164052564646036</x:v>
      </x:c>
      <x:c r="F106" s="7" t="n">
        <x:f>SUMIFS('Route source'!$H$2:$H$365,'Route source'!$A$2:$A$365,Dashboard!$B$5,'Route source'!$B$2:$B$365,A106)</x:f>
        <x:v>669</x:v>
      </x:c>
      <x:c r="G106" s="1" t="n">
        <x:f>SUMIFS('Route source'!$C$2:$C$365,'Route source'!$A$2:$A$365,Dashboard!$B$5,'Route source'!$B$2:$B$365,A106)</x:f>
        <x:v>12</x:v>
      </x:c>
      <x:c r="H106" s="1" t="n">
        <x:f>RANK(C106,$C$7:$C$134,0)</x:f>
        <x:v>39</x:v>
      </x:c>
    </x:row>
    <x:row r="107" ht="23" customHeight="1">
      <x:c r="A107" s="1" t="str">
        <x:v>Port Lincoln-Adelaide</x:v>
      </x:c>
      <x:c r="B107" s="7" t="n">
        <x:f>SUMIFS('Route source'!$D$2:$D$365,'Route source'!$A$2:$A$365,Dashboard!$B$5,'Route source'!$B$2:$B$365,A107)</x:f>
        <x:v>2979</x:v>
      </x:c>
      <x:c r="C107" s="7" t="n">
        <x:f>SUMIFS('Route source'!$F$2:$F$365,'Route source'!$A$2:$A$365,Dashboard!$B$5,'Route source'!$B$2:$B$365,A107)</x:f>
        <x:v>132</x:v>
      </x:c>
      <x:c r="D107" s="10" t="n">
        <x:f>IFERROR(C107/B107,"")</x:f>
        <x:v>0.044310171198388724</x:v>
      </x:c>
      <x:c r="E107" s="10" t="n">
        <x:f>IFERROR(SUMIFS('Route source'!$G$2:$G$365,'Route source'!$A$2:$A$365,Dashboard!$B$5,'Route source'!$B$2:$B$365,A107)/SUMIFS('Route source'!$E$2:$E$365,'Route source'!$A$2:$A$365,Dashboard!$B$5,'Route source'!$B$2:$B$365,A107),"")</x:f>
        <x:v>0.8208640674394099</x:v>
      </x:c>
      <x:c r="F107" s="7" t="n">
        <x:f>SUMIFS('Route source'!$H$2:$H$365,'Route source'!$A$2:$A$365,Dashboard!$B$5,'Route source'!$B$2:$B$365,A107)</x:f>
        <x:v>510</x:v>
      </x:c>
      <x:c r="G107" s="1" t="n">
        <x:f>SUMIFS('Route source'!$C$2:$C$365,'Route source'!$A$2:$A$365,Dashboard!$B$5,'Route source'!$B$2:$B$365,A107)</x:f>
        <x:v>12</x:v>
      </x:c>
      <x:c r="H107" s="1" t="n">
        <x:f>RANK(C107,$C$7:$C$134,0)</x:f>
        <x:v>15</x:v>
      </x:c>
    </x:row>
    <x:row r="108" ht="23" customHeight="1">
      <x:c r="A108" s="1" t="str">
        <x:v>Port Macquarie-Sydney</x:v>
      </x:c>
      <x:c r="B108" s="7" t="n">
        <x:f>SUMIFS('Route source'!$D$2:$D$365,'Route source'!$A$2:$A$365,Dashboard!$B$5,'Route source'!$B$2:$B$365,A108)</x:f>
        <x:v>2030</x:v>
      </x:c>
      <x:c r="C108" s="7" t="n">
        <x:f>SUMIFS('Route source'!$F$2:$F$365,'Route source'!$A$2:$A$365,Dashboard!$B$5,'Route source'!$B$2:$B$365,A108)</x:f>
        <x:v>88</x:v>
      </x:c>
      <x:c r="D108" s="10" t="n">
        <x:f>IFERROR(C108/B108,"")</x:f>
        <x:v>0.04334975369458128</x:v>
      </x:c>
      <x:c r="E108" s="10" t="n">
        <x:f>IFERROR(SUMIFS('Route source'!$G$2:$G$365,'Route source'!$A$2:$A$365,Dashboard!$B$5,'Route source'!$B$2:$B$365,A108)/SUMIFS('Route source'!$E$2:$E$365,'Route source'!$A$2:$A$365,Dashboard!$B$5,'Route source'!$B$2:$B$365,A108),"")</x:f>
        <x:v>0.7296601441812565</x:v>
      </x:c>
      <x:c r="F108" s="7" t="n">
        <x:f>SUMIFS('Route source'!$H$2:$H$365,'Route source'!$A$2:$A$365,Dashboard!$B$5,'Route source'!$B$2:$B$365,A108)</x:f>
        <x:v>525</x:v>
      </x:c>
      <x:c r="G108" s="1" t="n">
        <x:f>SUMIFS('Route source'!$C$2:$C$365,'Route source'!$A$2:$A$365,Dashboard!$B$5,'Route source'!$B$2:$B$365,A108)</x:f>
        <x:v>12</x:v>
      </x:c>
      <x:c r="H108" s="1" t="n">
        <x:f>RANK(C108,$C$7:$C$134,0)</x:f>
        <x:v>26</x:v>
      </x:c>
    </x:row>
    <x:row r="109" ht="23" customHeight="1">
      <x:c r="A109" s="1" t="str">
        <x:v>Proserpine-Brisbane</x:v>
      </x:c>
      <x:c r="B109" s="7" t="n">
        <x:f>SUMIFS('Route source'!$D$2:$D$365,'Route source'!$A$2:$A$365,Dashboard!$B$5,'Route source'!$B$2:$B$365,A109)</x:f>
        <x:v>998</x:v>
      </x:c>
      <x:c r="C109" s="7" t="n">
        <x:f>SUMIFS('Route source'!$F$2:$F$365,'Route source'!$A$2:$A$365,Dashboard!$B$5,'Route source'!$B$2:$B$365,A109)</x:f>
        <x:v>21</x:v>
      </x:c>
      <x:c r="D109" s="10" t="n">
        <x:f>IFERROR(C109/B109,"")</x:f>
        <x:v>0.021042084168336674</x:v>
      </x:c>
      <x:c r="E109" s="10" t="n">
        <x:f>IFERROR(SUMIFS('Route source'!$G$2:$G$365,'Route source'!$A$2:$A$365,Dashboard!$B$5,'Route source'!$B$2:$B$365,A109)/SUMIFS('Route source'!$E$2:$E$365,'Route source'!$A$2:$A$365,Dashboard!$B$5,'Route source'!$B$2:$B$365,A109),"")</x:f>
        <x:v>0.6653019447287615</x:v>
      </x:c>
      <x:c r="F109" s="7" t="n">
        <x:f>SUMIFS('Route source'!$H$2:$H$365,'Route source'!$A$2:$A$365,Dashboard!$B$5,'Route source'!$B$2:$B$365,A109)</x:f>
        <x:v>327</x:v>
      </x:c>
      <x:c r="G109" s="1" t="n">
        <x:f>SUMIFS('Route source'!$C$2:$C$365,'Route source'!$A$2:$A$365,Dashboard!$B$5,'Route source'!$B$2:$B$365,A109)</x:f>
        <x:v>12</x:v>
      </x:c>
      <x:c r="H109" s="1" t="n">
        <x:f>RANK(C109,$C$7:$C$134,0)</x:f>
        <x:v>80</x:v>
      </x:c>
    </x:row>
    <x:row r="110" ht="23" customHeight="1">
      <x:c r="A110" s="1" t="str">
        <x:v>Rockhampton-Brisbane</x:v>
      </x:c>
      <x:c r="B110" s="7" t="n">
        <x:f>SUMIFS('Route source'!$D$2:$D$365,'Route source'!$A$2:$A$365,Dashboard!$B$5,'Route source'!$B$2:$B$365,A110)</x:f>
        <x:v>3880</x:v>
      </x:c>
      <x:c r="C110" s="7" t="n">
        <x:f>SUMIFS('Route source'!$F$2:$F$365,'Route source'!$A$2:$A$365,Dashboard!$B$5,'Route source'!$B$2:$B$365,A110)</x:f>
        <x:v>102</x:v>
      </x:c>
      <x:c r="D110" s="10" t="n">
        <x:f>IFERROR(C110/B110,"")</x:f>
        <x:v>0.026288659793814433</x:v>
      </x:c>
      <x:c r="E110" s="10" t="n">
        <x:f>IFERROR(SUMIFS('Route source'!$G$2:$G$365,'Route source'!$A$2:$A$365,Dashboard!$B$5,'Route source'!$B$2:$B$365,A110)/SUMIFS('Route source'!$E$2:$E$365,'Route source'!$A$2:$A$365,Dashboard!$B$5,'Route source'!$B$2:$B$365,A110),"")</x:f>
        <x:v>0.7310746426680783</x:v>
      </x:c>
      <x:c r="F110" s="7" t="n">
        <x:f>SUMIFS('Route source'!$H$2:$H$365,'Route source'!$A$2:$A$365,Dashboard!$B$5,'Route source'!$B$2:$B$365,A110)</x:f>
        <x:v>1016</x:v>
      </x:c>
      <x:c r="G110" s="1" t="n">
        <x:f>SUMIFS('Route source'!$C$2:$C$365,'Route source'!$A$2:$A$365,Dashboard!$B$5,'Route source'!$B$2:$B$365,A110)</x:f>
        <x:v>12</x:v>
      </x:c>
      <x:c r="H110" s="1" t="n">
        <x:f>RANK(C110,$C$7:$C$134,0)</x:f>
        <x:v>22</x:v>
      </x:c>
    </x:row>
    <x:row r="111" ht="23" customHeight="1">
      <x:c r="A111" s="1" t="str">
        <x:v>Sunshine Coast-Melbourne</x:v>
      </x:c>
      <x:c r="B111" s="7" t="n">
        <x:f>SUMIFS('Route source'!$D$2:$D$365,'Route source'!$A$2:$A$365,Dashboard!$B$5,'Route source'!$B$2:$B$365,A111)</x:f>
        <x:v>2310</x:v>
      </x:c>
      <x:c r="C111" s="7" t="n">
        <x:f>SUMIFS('Route source'!$F$2:$F$365,'Route source'!$A$2:$A$365,Dashboard!$B$5,'Route source'!$B$2:$B$365,A111)</x:f>
        <x:v>16</x:v>
      </x:c>
      <x:c r="D111" s="10" t="n">
        <x:f>IFERROR(C111/B111,"")</x:f>
        <x:v>0.006926406926406926</x:v>
      </x:c>
      <x:c r="E111" s="10" t="n">
        <x:f>IFERROR(SUMIFS('Route source'!$G$2:$G$365,'Route source'!$A$2:$A$365,Dashboard!$B$5,'Route source'!$B$2:$B$365,A111)/SUMIFS('Route source'!$E$2:$E$365,'Route source'!$A$2:$A$365,Dashboard!$B$5,'Route source'!$B$2:$B$365,A111),"")</x:f>
        <x:v>0.6900610287707062</x:v>
      </x:c>
      <x:c r="F111" s="7" t="n">
        <x:f>SUMIFS('Route source'!$H$2:$H$365,'Route source'!$A$2:$A$365,Dashboard!$B$5,'Route source'!$B$2:$B$365,A111)</x:f>
        <x:v>711</x:v>
      </x:c>
      <x:c r="G111" s="1" t="n">
        <x:f>SUMIFS('Route source'!$C$2:$C$365,'Route source'!$A$2:$A$365,Dashboard!$B$5,'Route source'!$B$2:$B$365,A111)</x:f>
        <x:v>12</x:v>
      </x:c>
      <x:c r="H111" s="1" t="n">
        <x:f>RANK(C111,$C$7:$C$134,0)</x:f>
        <x:v>88</x:v>
      </x:c>
    </x:row>
    <x:row r="112" ht="23" customHeight="1">
      <x:c r="A112" s="1" t="str">
        <x:v>Sunshine Coast-Sydney</x:v>
      </x:c>
      <x:c r="B112" s="7" t="n">
        <x:f>SUMIFS('Route source'!$D$2:$D$365,'Route source'!$A$2:$A$365,Dashboard!$B$5,'Route source'!$B$2:$B$365,A112)</x:f>
        <x:v>2640</x:v>
      </x:c>
      <x:c r="C112" s="7" t="n">
        <x:f>SUMIFS('Route source'!$F$2:$F$365,'Route source'!$A$2:$A$365,Dashboard!$B$5,'Route source'!$B$2:$B$365,A112)</x:f>
        <x:v>43</x:v>
      </x:c>
      <x:c r="D112" s="10" t="n">
        <x:f>IFERROR(C112/B112,"")</x:f>
        <x:v>0.01628787878787879</x:v>
      </x:c>
      <x:c r="E112" s="10" t="n">
        <x:f>IFERROR(SUMIFS('Route source'!$G$2:$G$365,'Route source'!$A$2:$A$365,Dashboard!$B$5,'Route source'!$B$2:$B$365,A112)/SUMIFS('Route source'!$E$2:$E$365,'Route source'!$A$2:$A$365,Dashboard!$B$5,'Route source'!$B$2:$B$365,A112),"")</x:f>
        <x:v>0.6819407008086253</x:v>
      </x:c>
      <x:c r="F112" s="7" t="n">
        <x:f>SUMIFS('Route source'!$H$2:$H$365,'Route source'!$A$2:$A$365,Dashboard!$B$5,'Route source'!$B$2:$B$365,A112)</x:f>
        <x:v>826</x:v>
      </x:c>
      <x:c r="G112" s="1" t="n">
        <x:f>SUMIFS('Route source'!$C$2:$C$365,'Route source'!$A$2:$A$365,Dashboard!$B$5,'Route source'!$B$2:$B$365,A112)</x:f>
        <x:v>12</x:v>
      </x:c>
      <x:c r="H112" s="1" t="n">
        <x:f>RANK(C112,$C$7:$C$134,0)</x:f>
        <x:v>65</x:v>
      </x:c>
    </x:row>
    <x:row r="113" ht="23" customHeight="1">
      <x:c r="A113" s="1" t="str">
        <x:v>Sydney-Adelaide</x:v>
      </x:c>
      <x:c r="B113" s="7" t="n">
        <x:f>SUMIFS('Route source'!$D$2:$D$365,'Route source'!$A$2:$A$365,Dashboard!$B$5,'Route source'!$B$2:$B$365,A113)</x:f>
        <x:v>6631</x:v>
      </x:c>
      <x:c r="C113" s="7" t="n">
        <x:f>SUMIFS('Route source'!$F$2:$F$365,'Route source'!$A$2:$A$365,Dashboard!$B$5,'Route source'!$B$2:$B$365,A113)</x:f>
        <x:v>152</x:v>
      </x:c>
      <x:c r="D113" s="10" t="n">
        <x:f>IFERROR(C113/B113,"")</x:f>
        <x:v>0.022922636103151862</x:v>
      </x:c>
      <x:c r="E113" s="10" t="n">
        <x:f>IFERROR(SUMIFS('Route source'!$G$2:$G$365,'Route source'!$A$2:$A$365,Dashboard!$B$5,'Route source'!$B$2:$B$365,A113)/SUMIFS('Route source'!$E$2:$E$365,'Route source'!$A$2:$A$365,Dashboard!$B$5,'Route source'!$B$2:$B$365,A113),"")</x:f>
        <x:v>0.7589134125636672</x:v>
      </x:c>
      <x:c r="F113" s="7" t="n">
        <x:f>SUMIFS('Route source'!$H$2:$H$365,'Route source'!$A$2:$A$365,Dashboard!$B$5,'Route source'!$B$2:$B$365,A113)</x:f>
        <x:v>1562</x:v>
      </x:c>
      <x:c r="G113" s="1" t="n">
        <x:f>SUMIFS('Route source'!$C$2:$C$365,'Route source'!$A$2:$A$365,Dashboard!$B$5,'Route source'!$B$2:$B$365,A113)</x:f>
        <x:v>12</x:v>
      </x:c>
      <x:c r="H113" s="1" t="n">
        <x:f>RANK(C113,$C$7:$C$134,0)</x:f>
        <x:v>12</x:v>
      </x:c>
    </x:row>
    <x:row r="114" ht="23" customHeight="1">
      <x:c r="A114" s="1" t="str">
        <x:v>Sydney-Albury</x:v>
      </x:c>
      <x:c r="B114" s="7" t="n">
        <x:f>SUMIFS('Route source'!$D$2:$D$365,'Route source'!$A$2:$A$365,Dashboard!$B$5,'Route source'!$B$2:$B$365,A114)</x:f>
        <x:v>1918</x:v>
      </x:c>
      <x:c r="C114" s="7" t="n">
        <x:f>SUMIFS('Route source'!$F$2:$F$365,'Route source'!$A$2:$A$365,Dashboard!$B$5,'Route source'!$B$2:$B$365,A114)</x:f>
        <x:v>25</x:v>
      </x:c>
      <x:c r="D114" s="10" t="n">
        <x:f>IFERROR(C114/B114,"")</x:f>
        <x:v>0.013034410844629822</x:v>
      </x:c>
      <x:c r="E114" s="10" t="n">
        <x:f>IFERROR(SUMIFS('Route source'!$G$2:$G$365,'Route source'!$A$2:$A$365,Dashboard!$B$5,'Route source'!$B$2:$B$365,A114)/SUMIFS('Route source'!$E$2:$E$365,'Route source'!$A$2:$A$365,Dashboard!$B$5,'Route source'!$B$2:$B$365,A114),"")</x:f>
        <x:v>0.7696777601690439</x:v>
      </x:c>
      <x:c r="F114" s="7" t="n">
        <x:f>SUMIFS('Route source'!$H$2:$H$365,'Route source'!$A$2:$A$365,Dashboard!$B$5,'Route source'!$B$2:$B$365,A114)</x:f>
        <x:v>436</x:v>
      </x:c>
      <x:c r="G114" s="1" t="n">
        <x:f>SUMIFS('Route source'!$C$2:$C$365,'Route source'!$A$2:$A$365,Dashboard!$B$5,'Route source'!$B$2:$B$365,A114)</x:f>
        <x:v>12</x:v>
      </x:c>
      <x:c r="H114" s="1" t="n">
        <x:f>RANK(C114,$C$7:$C$134,0)</x:f>
        <x:v>76</x:v>
      </x:c>
    </x:row>
    <x:row r="115" ht="23" customHeight="1">
      <x:c r="A115" s="1" t="str">
        <x:v>Sydney-Armidale</x:v>
      </x:c>
      <x:c r="B115" s="7" t="n">
        <x:f>SUMIFS('Route source'!$D$2:$D$365,'Route source'!$A$2:$A$365,Dashboard!$B$5,'Route source'!$B$2:$B$365,A115)</x:f>
        <x:v>0</x:v>
      </x:c>
      <x:c r="C115" s="7" t="n">
        <x:f>SUMIFS('Route source'!$F$2:$F$365,'Route source'!$A$2:$A$365,Dashboard!$B$5,'Route source'!$B$2:$B$365,A115)</x:f>
        <x:v>0</x:v>
      </x:c>
      <x:c r="D115" s="10" t="str">
        <x:f>IFERROR(C115/B115,"")</x:f>
      </x:c>
      <x:c r="E115" s="10" t="str">
        <x:f>IFERROR(SUMIFS('Route source'!$G$2:$G$365,'Route source'!$A$2:$A$365,Dashboard!$B$5,'Route source'!$B$2:$B$365,A115)/SUMIFS('Route source'!$E$2:$E$365,'Route source'!$A$2:$A$365,Dashboard!$B$5,'Route source'!$B$2:$B$365,A115),"")</x:f>
      </x:c>
      <x:c r="F115" s="7" t="n">
        <x:f>SUMIFS('Route source'!$H$2:$H$365,'Route source'!$A$2:$A$365,Dashboard!$B$5,'Route source'!$B$2:$B$365,A115)</x:f>
        <x:v>0</x:v>
      </x:c>
      <x:c r="G115" s="1" t="n">
        <x:f>SUMIFS('Route source'!$C$2:$C$365,'Route source'!$A$2:$A$365,Dashboard!$B$5,'Route source'!$B$2:$B$365,A115)</x:f>
        <x:v>0</x:v>
      </x:c>
      <x:c r="H115" s="1" t="n">
        <x:f>RANK(C115,$C$7:$C$134,0)</x:f>
        <x:v>120</x:v>
      </x:c>
    </x:row>
    <x:row r="116" ht="23" customHeight="1">
      <x:c r="A116" s="1" t="str">
        <x:v>Sydney-Ballina</x:v>
      </x:c>
      <x:c r="B116" s="7" t="n">
        <x:f>SUMIFS('Route source'!$D$2:$D$365,'Route source'!$A$2:$A$365,Dashboard!$B$5,'Route source'!$B$2:$B$365,A116)</x:f>
        <x:v>1789</x:v>
      </x:c>
      <x:c r="C116" s="7" t="n">
        <x:f>SUMIFS('Route source'!$F$2:$F$365,'Route source'!$A$2:$A$365,Dashboard!$B$5,'Route source'!$B$2:$B$365,A116)</x:f>
        <x:v>47</x:v>
      </x:c>
      <x:c r="D116" s="10" t="n">
        <x:f>IFERROR(C116/B116,"")</x:f>
        <x:v>0.02627166014533259</x:v>
      </x:c>
      <x:c r="E116" s="10" t="n">
        <x:f>IFERROR(SUMIFS('Route source'!$G$2:$G$365,'Route source'!$A$2:$A$365,Dashboard!$B$5,'Route source'!$B$2:$B$365,A116)/SUMIFS('Route source'!$E$2:$E$365,'Route source'!$A$2:$A$365,Dashboard!$B$5,'Route source'!$B$2:$B$365,A116),"")</x:f>
        <x:v>0.8088404133180253</x:v>
      </x:c>
      <x:c r="F116" s="7" t="n">
        <x:f>SUMIFS('Route source'!$H$2:$H$365,'Route source'!$A$2:$A$365,Dashboard!$B$5,'Route source'!$B$2:$B$365,A116)</x:f>
        <x:v>333</x:v>
      </x:c>
      <x:c r="G116" s="1" t="n">
        <x:f>SUMIFS('Route source'!$C$2:$C$365,'Route source'!$A$2:$A$365,Dashboard!$B$5,'Route source'!$B$2:$B$365,A116)</x:f>
        <x:v>12</x:v>
      </x:c>
      <x:c r="H116" s="1" t="n">
        <x:f>RANK(C116,$C$7:$C$134,0)</x:f>
        <x:v>64</x:v>
      </x:c>
    </x:row>
    <x:row r="117" ht="23" customHeight="1">
      <x:c r="A117" s="1" t="str">
        <x:v>Sydney-Brisbane</x:v>
      </x:c>
      <x:c r="B117" s="7" t="n">
        <x:f>SUMIFS('Route source'!$D$2:$D$365,'Route source'!$A$2:$A$365,Dashboard!$B$5,'Route source'!$B$2:$B$365,A117)</x:f>
        <x:v>14524</x:v>
      </x:c>
      <x:c r="C117" s="7" t="n">
        <x:f>SUMIFS('Route source'!$F$2:$F$365,'Route source'!$A$2:$A$365,Dashboard!$B$5,'Route source'!$B$2:$B$365,A117)</x:f>
        <x:v>478</x:v>
      </x:c>
      <x:c r="D117" s="10" t="n">
        <x:f>IFERROR(C117/B117,"")</x:f>
        <x:v>0.032911043789589645</x:v>
      </x:c>
      <x:c r="E117" s="10" t="n">
        <x:f>IFERROR(SUMIFS('Route source'!$G$2:$G$365,'Route source'!$A$2:$A$365,Dashboard!$B$5,'Route source'!$B$2:$B$365,A117)/SUMIFS('Route source'!$E$2:$E$365,'Route source'!$A$2:$A$365,Dashboard!$B$5,'Route source'!$B$2:$B$365,A117),"")</x:f>
        <x:v>0.752812188523423</x:v>
      </x:c>
      <x:c r="F117" s="7" t="n">
        <x:f>SUMIFS('Route source'!$H$2:$H$365,'Route source'!$A$2:$A$365,Dashboard!$B$5,'Route source'!$B$2:$B$365,A117)</x:f>
        <x:v>3472</x:v>
      </x:c>
      <x:c r="G117" s="1" t="n">
        <x:f>SUMIFS('Route source'!$C$2:$C$365,'Route source'!$A$2:$A$365,Dashboard!$B$5,'Route source'!$B$2:$B$365,A117)</x:f>
        <x:v>12</x:v>
      </x:c>
      <x:c r="H117" s="1" t="n">
        <x:f>RANK(C117,$C$7:$C$134,0)</x:f>
        <x:v>4</x:v>
      </x:c>
    </x:row>
    <x:row r="118" ht="23" customHeight="1">
      <x:c r="A118" s="1" t="str">
        <x:v>Sydney-Cairns</x:v>
      </x:c>
      <x:c r="B118" s="7" t="n">
        <x:f>SUMIFS('Route source'!$D$2:$D$365,'Route source'!$A$2:$A$365,Dashboard!$B$5,'Route source'!$B$2:$B$365,A118)</x:f>
        <x:v>2713</x:v>
      </x:c>
      <x:c r="C118" s="7" t="n">
        <x:f>SUMIFS('Route source'!$F$2:$F$365,'Route source'!$A$2:$A$365,Dashboard!$B$5,'Route source'!$B$2:$B$365,A118)</x:f>
        <x:v>8</x:v>
      </x:c>
      <x:c r="D118" s="10" t="n">
        <x:f>IFERROR(C118/B118,"")</x:f>
        <x:v>0.002948765204570586</x:v>
      </x:c>
      <x:c r="E118" s="10" t="n">
        <x:f>IFERROR(SUMIFS('Route source'!$G$2:$G$365,'Route source'!$A$2:$A$365,Dashboard!$B$5,'Route source'!$B$2:$B$365,A118)/SUMIFS('Route source'!$E$2:$E$365,'Route source'!$A$2:$A$365,Dashboard!$B$5,'Route source'!$B$2:$B$365,A118),"")</x:f>
        <x:v>0.8040665434380776</x:v>
      </x:c>
      <x:c r="F118" s="7" t="n">
        <x:f>SUMIFS('Route source'!$H$2:$H$365,'Route source'!$A$2:$A$365,Dashboard!$B$5,'Route source'!$B$2:$B$365,A118)</x:f>
        <x:v>530</x:v>
      </x:c>
      <x:c r="G118" s="1" t="n">
        <x:f>SUMIFS('Route source'!$C$2:$C$365,'Route source'!$A$2:$A$365,Dashboard!$B$5,'Route source'!$B$2:$B$365,A118)</x:f>
        <x:v>12</x:v>
      </x:c>
      <x:c r="H118" s="1" t="n">
        <x:f>RANK(C118,$C$7:$C$134,0)</x:f>
        <x:v>104</x:v>
      </x:c>
    </x:row>
    <x:row r="119" ht="23" customHeight="1">
      <x:c r="A119" s="1" t="str">
        <x:v>Sydney-Canberra</x:v>
      </x:c>
      <x:c r="B119" s="7" t="n">
        <x:f>SUMIFS('Route source'!$D$2:$D$365,'Route source'!$A$2:$A$365,Dashboard!$B$5,'Route source'!$B$2:$B$365,A119)</x:f>
        <x:v>7660</x:v>
      </x:c>
      <x:c r="C119" s="7" t="n">
        <x:f>SUMIFS('Route source'!$F$2:$F$365,'Route source'!$A$2:$A$365,Dashboard!$B$5,'Route source'!$B$2:$B$365,A119)</x:f>
        <x:v>428</x:v>
      </x:c>
      <x:c r="D119" s="10" t="n">
        <x:f>IFERROR(C119/B119,"")</x:f>
        <x:v>0.05587467362924282</x:v>
      </x:c>
      <x:c r="E119" s="10" t="n">
        <x:f>IFERROR(SUMIFS('Route source'!$G$2:$G$365,'Route source'!$A$2:$A$365,Dashboard!$B$5,'Route source'!$B$2:$B$365,A119)/SUMIFS('Route source'!$E$2:$E$365,'Route source'!$A$2:$A$365,Dashboard!$B$5,'Route source'!$B$2:$B$365,A119),"")</x:f>
        <x:v>0.7923119469026548</x:v>
      </x:c>
      <x:c r="F119" s="7" t="n">
        <x:f>SUMIFS('Route source'!$H$2:$H$365,'Route source'!$A$2:$A$365,Dashboard!$B$5,'Route source'!$B$2:$B$365,A119)</x:f>
        <x:v>1502</x:v>
      </x:c>
      <x:c r="G119" s="1" t="n">
        <x:f>SUMIFS('Route source'!$C$2:$C$365,'Route source'!$A$2:$A$365,Dashboard!$B$5,'Route source'!$B$2:$B$365,A119)</x:f>
        <x:v>12</x:v>
      </x:c>
      <x:c r="H119" s="1" t="n">
        <x:f>RANK(C119,$C$7:$C$134,0)</x:f>
        <x:v>7</x:v>
      </x:c>
    </x:row>
    <x:row r="120" ht="23" customHeight="1">
      <x:c r="A120" s="1" t="str">
        <x:v>Sydney-Coffs Harbour</x:v>
      </x:c>
      <x:c r="B120" s="7" t="n">
        <x:f>SUMIFS('Route source'!$D$2:$D$365,'Route source'!$A$2:$A$365,Dashboard!$B$5,'Route source'!$B$2:$B$365,A120)</x:f>
        <x:v>2150</x:v>
      </x:c>
      <x:c r="C120" s="7" t="n">
        <x:f>SUMIFS('Route source'!$F$2:$F$365,'Route source'!$A$2:$A$365,Dashboard!$B$5,'Route source'!$B$2:$B$365,A120)</x:f>
        <x:v>67</x:v>
      </x:c>
      <x:c r="D120" s="10" t="n">
        <x:f>IFERROR(C120/B120,"")</x:f>
        <x:v>0.031162790697674417</x:v>
      </x:c>
      <x:c r="E120" s="10" t="n">
        <x:f>IFERROR(SUMIFS('Route source'!$G$2:$G$365,'Route source'!$A$2:$A$365,Dashboard!$B$5,'Route source'!$B$2:$B$365,A120)/SUMIFS('Route source'!$E$2:$E$365,'Route source'!$A$2:$A$365,Dashboard!$B$5,'Route source'!$B$2:$B$365,A120),"")</x:f>
        <x:v>0.7364378300528085</x:v>
      </x:c>
      <x:c r="F120" s="7" t="n">
        <x:f>SUMIFS('Route source'!$H$2:$H$365,'Route source'!$A$2:$A$365,Dashboard!$B$5,'Route source'!$B$2:$B$365,A120)</x:f>
        <x:v>549</x:v>
      </x:c>
      <x:c r="G120" s="1" t="n">
        <x:f>SUMIFS('Route source'!$C$2:$C$365,'Route source'!$A$2:$A$365,Dashboard!$B$5,'Route source'!$B$2:$B$365,A120)</x:f>
        <x:v>12</x:v>
      </x:c>
      <x:c r="H120" s="1" t="n">
        <x:f>RANK(C120,$C$7:$C$134,0)</x:f>
        <x:v>45</x:v>
      </x:c>
    </x:row>
    <x:row r="121" ht="23" customHeight="1">
      <x:c r="A121" s="1" t="str">
        <x:v>Sydney-Darwin</x:v>
      </x:c>
      <x:c r="B121" s="7" t="n">
        <x:f>SUMIFS('Route source'!$D$2:$D$365,'Route source'!$A$2:$A$365,Dashboard!$B$5,'Route source'!$B$2:$B$365,A121)</x:f>
        <x:v>0</x:v>
      </x:c>
      <x:c r="C121" s="7" t="n">
        <x:f>SUMIFS('Route source'!$F$2:$F$365,'Route source'!$A$2:$A$365,Dashboard!$B$5,'Route source'!$B$2:$B$365,A121)</x:f>
        <x:v>0</x:v>
      </x:c>
      <x:c r="D121" s="10" t="str">
        <x:f>IFERROR(C121/B121,"")</x:f>
      </x:c>
      <x:c r="E121" s="10" t="str">
        <x:f>IFERROR(SUMIFS('Route source'!$G$2:$G$365,'Route source'!$A$2:$A$365,Dashboard!$B$5,'Route source'!$B$2:$B$365,A121)/SUMIFS('Route source'!$E$2:$E$365,'Route source'!$A$2:$A$365,Dashboard!$B$5,'Route source'!$B$2:$B$365,A121),"")</x:f>
      </x:c>
      <x:c r="F121" s="7" t="n">
        <x:f>SUMIFS('Route source'!$H$2:$H$365,'Route source'!$A$2:$A$365,Dashboard!$B$5,'Route source'!$B$2:$B$365,A121)</x:f>
        <x:v>0</x:v>
      </x:c>
      <x:c r="G121" s="1" t="n">
        <x:f>SUMIFS('Route source'!$C$2:$C$365,'Route source'!$A$2:$A$365,Dashboard!$B$5,'Route source'!$B$2:$B$365,A121)</x:f>
        <x:v>0</x:v>
      </x:c>
      <x:c r="H121" s="1" t="n">
        <x:f>RANK(C121,$C$7:$C$134,0)</x:f>
        <x:v>120</x:v>
      </x:c>
    </x:row>
    <x:row r="122" ht="23" customHeight="1">
      <x:c r="A122" s="1" t="str">
        <x:v>Sydney-Dubbo</x:v>
      </x:c>
      <x:c r="B122" s="7" t="n">
        <x:f>SUMIFS('Route source'!$D$2:$D$365,'Route source'!$A$2:$A$365,Dashboard!$B$5,'Route source'!$B$2:$B$365,A122)</x:f>
        <x:v>2519</x:v>
      </x:c>
      <x:c r="C122" s="7" t="n">
        <x:f>SUMIFS('Route source'!$F$2:$F$365,'Route source'!$A$2:$A$365,Dashboard!$B$5,'Route source'!$B$2:$B$365,A122)</x:f>
        <x:v>84</x:v>
      </x:c>
      <x:c r="D122" s="10" t="n">
        <x:f>IFERROR(C122/B122,"")</x:f>
        <x:v>0.0333465660976578</x:v>
      </x:c>
      <x:c r="E122" s="10" t="n">
        <x:f>IFERROR(SUMIFS('Route source'!$G$2:$G$365,'Route source'!$A$2:$A$365,Dashboard!$B$5,'Route source'!$B$2:$B$365,A122)/SUMIFS('Route source'!$E$2:$E$365,'Route source'!$A$2:$A$365,Dashboard!$B$5,'Route source'!$B$2:$B$365,A122),"")</x:f>
        <x:v>0.7404517453798768</x:v>
      </x:c>
      <x:c r="F122" s="7" t="n">
        <x:f>SUMIFS('Route source'!$H$2:$H$365,'Route source'!$A$2:$A$365,Dashboard!$B$5,'Route source'!$B$2:$B$365,A122)</x:f>
        <x:v>632</x:v>
      </x:c>
      <x:c r="G122" s="1" t="n">
        <x:f>SUMIFS('Route source'!$C$2:$C$365,'Route source'!$A$2:$A$365,Dashboard!$B$5,'Route source'!$B$2:$B$365,A122)</x:f>
        <x:v>12</x:v>
      </x:c>
      <x:c r="H122" s="1" t="n">
        <x:f>RANK(C122,$C$7:$C$134,0)</x:f>
        <x:v>30</x:v>
      </x:c>
    </x:row>
    <x:row r="123" ht="23" customHeight="1">
      <x:c r="A123" s="1" t="str">
        <x:v>Sydney-Gold Coast</x:v>
      </x:c>
      <x:c r="B123" s="7" t="n">
        <x:f>SUMIFS('Route source'!$D$2:$D$365,'Route source'!$A$2:$A$365,Dashboard!$B$5,'Route source'!$B$2:$B$365,A123)</x:f>
        <x:v>8144</x:v>
      </x:c>
      <x:c r="C123" s="7" t="n">
        <x:f>SUMIFS('Route source'!$F$2:$F$365,'Route source'!$A$2:$A$365,Dashboard!$B$5,'Route source'!$B$2:$B$365,A123)</x:f>
        <x:v>157</x:v>
      </x:c>
      <x:c r="D123" s="10" t="n">
        <x:f>IFERROR(C123/B123,"")</x:f>
        <x:v>0.019277996070726916</x:v>
      </x:c>
      <x:c r="E123" s="10" t="n">
        <x:f>IFERROR(SUMIFS('Route source'!$G$2:$G$365,'Route source'!$A$2:$A$365,Dashboard!$B$5,'Route source'!$B$2:$B$365,A123)/SUMIFS('Route source'!$E$2:$E$365,'Route source'!$A$2:$A$365,Dashboard!$B$5,'Route source'!$B$2:$B$365,A123),"")</x:f>
        <x:v>0.7891573807437086</x:v>
      </x:c>
      <x:c r="F123" s="7" t="n">
        <x:f>SUMIFS('Route source'!$H$2:$H$365,'Route source'!$A$2:$A$365,Dashboard!$B$5,'Route source'!$B$2:$B$365,A123)</x:f>
        <x:v>1684</x:v>
      </x:c>
      <x:c r="G123" s="1" t="n">
        <x:f>SUMIFS('Route source'!$C$2:$C$365,'Route source'!$A$2:$A$365,Dashboard!$B$5,'Route source'!$B$2:$B$365,A123)</x:f>
        <x:v>12</x:v>
      </x:c>
      <x:c r="H123" s="1" t="n">
        <x:f>RANK(C123,$C$7:$C$134,0)</x:f>
        <x:v>11</x:v>
      </x:c>
    </x:row>
    <x:row r="124" ht="23" customHeight="1">
      <x:c r="A124" s="1" t="str">
        <x:v>Sydney-Hamilton Island</x:v>
      </x:c>
      <x:c r="B124" s="7" t="n">
        <x:f>SUMIFS('Route source'!$D$2:$D$365,'Route source'!$A$2:$A$365,Dashboard!$B$5,'Route source'!$B$2:$B$365,A124)</x:f>
        <x:v>868</x:v>
      </x:c>
      <x:c r="C124" s="7" t="n">
        <x:f>SUMIFS('Route source'!$F$2:$F$365,'Route source'!$A$2:$A$365,Dashboard!$B$5,'Route source'!$B$2:$B$365,A124)</x:f>
        <x:v>1</x:v>
      </x:c>
      <x:c r="D124" s="10" t="n">
        <x:f>IFERROR(C124/B124,"")</x:f>
        <x:v>0.001152073732718894</x:v>
      </x:c>
      <x:c r="E124" s="10" t="n">
        <x:f>IFERROR(SUMIFS('Route source'!$G$2:$G$365,'Route source'!$A$2:$A$365,Dashboard!$B$5,'Route source'!$B$2:$B$365,A124)/SUMIFS('Route source'!$E$2:$E$365,'Route source'!$A$2:$A$365,Dashboard!$B$5,'Route source'!$B$2:$B$365,A124),"")</x:f>
        <x:v>0.7843137254901961</x:v>
      </x:c>
      <x:c r="F124" s="7" t="n">
        <x:f>SUMIFS('Route source'!$H$2:$H$365,'Route source'!$A$2:$A$365,Dashboard!$B$5,'Route source'!$B$2:$B$365,A124)</x:f>
        <x:v>187</x:v>
      </x:c>
      <x:c r="G124" s="1" t="n">
        <x:f>SUMIFS('Route source'!$C$2:$C$365,'Route source'!$A$2:$A$365,Dashboard!$B$5,'Route source'!$B$2:$B$365,A124)</x:f>
        <x:v>12</x:v>
      </x:c>
      <x:c r="H124" s="1" t="n">
        <x:f>RANK(C124,$C$7:$C$134,0)</x:f>
        <x:v>117</x:v>
      </x:c>
    </x:row>
    <x:row r="125" ht="23" customHeight="1">
      <x:c r="A125" s="1" t="str">
        <x:v>Sydney-Hobart</x:v>
      </x:c>
      <x:c r="B125" s="7" t="n">
        <x:f>SUMIFS('Route source'!$D$2:$D$365,'Route source'!$A$2:$A$365,Dashboard!$B$5,'Route source'!$B$2:$B$365,A125)</x:f>
        <x:v>2872</x:v>
      </x:c>
      <x:c r="C125" s="7" t="n">
        <x:f>SUMIFS('Route source'!$F$2:$F$365,'Route source'!$A$2:$A$365,Dashboard!$B$5,'Route source'!$B$2:$B$365,A125)</x:f>
        <x:v>57</x:v>
      </x:c>
      <x:c r="D125" s="10" t="n">
        <x:f>IFERROR(C125/B125,"")</x:f>
        <x:v>0.019846796657381614</x:v>
      </x:c>
      <x:c r="E125" s="10" t="n">
        <x:f>IFERROR(SUMIFS('Route source'!$G$2:$G$365,'Route source'!$A$2:$A$365,Dashboard!$B$5,'Route source'!$B$2:$B$365,A125)/SUMIFS('Route source'!$E$2:$E$365,'Route source'!$A$2:$A$365,Dashboard!$B$5,'Route source'!$B$2:$B$365,A125),"")</x:f>
        <x:v>0.7676731793960924</x:v>
      </x:c>
      <x:c r="F125" s="7" t="n">
        <x:f>SUMIFS('Route source'!$H$2:$H$365,'Route source'!$A$2:$A$365,Dashboard!$B$5,'Route source'!$B$2:$B$365,A125)</x:f>
        <x:v>654</x:v>
      </x:c>
      <x:c r="G125" s="1" t="n">
        <x:f>SUMIFS('Route source'!$C$2:$C$365,'Route source'!$A$2:$A$365,Dashboard!$B$5,'Route source'!$B$2:$B$365,A125)</x:f>
        <x:v>12</x:v>
      </x:c>
      <x:c r="H125" s="1" t="n">
        <x:f>RANK(C125,$C$7:$C$134,0)</x:f>
        <x:v>52</x:v>
      </x:c>
    </x:row>
    <x:row r="126" ht="23" customHeight="1">
      <x:c r="A126" s="1" t="str">
        <x:v>Sydney-Launceston</x:v>
      </x:c>
      <x:c r="B126" s="7" t="n">
        <x:f>SUMIFS('Route source'!$D$2:$D$365,'Route source'!$A$2:$A$365,Dashboard!$B$5,'Route source'!$B$2:$B$365,A126)</x:f>
        <x:v>1249</x:v>
      </x:c>
      <x:c r="C126" s="7" t="n">
        <x:f>SUMIFS('Route source'!$F$2:$F$365,'Route source'!$A$2:$A$365,Dashboard!$B$5,'Route source'!$B$2:$B$365,A126)</x:f>
        <x:v>9</x:v>
      </x:c>
      <x:c r="D126" s="10" t="n">
        <x:f>IFERROR(C126/B126,"")</x:f>
        <x:v>0.007205764611689352</x:v>
      </x:c>
      <x:c r="E126" s="10" t="n">
        <x:f>IFERROR(SUMIFS('Route source'!$G$2:$G$365,'Route source'!$A$2:$A$365,Dashboard!$B$5,'Route source'!$B$2:$B$365,A126)/SUMIFS('Route source'!$E$2:$E$365,'Route source'!$A$2:$A$365,Dashboard!$B$5,'Route source'!$B$2:$B$365,A126),"")</x:f>
        <x:v>0.7725806451612903</x:v>
      </x:c>
      <x:c r="F126" s="7" t="n">
        <x:f>SUMIFS('Route source'!$H$2:$H$365,'Route source'!$A$2:$A$365,Dashboard!$B$5,'Route source'!$B$2:$B$365,A126)</x:f>
        <x:v>282</x:v>
      </x:c>
      <x:c r="G126" s="1" t="n">
        <x:f>SUMIFS('Route source'!$C$2:$C$365,'Route source'!$A$2:$A$365,Dashboard!$B$5,'Route source'!$B$2:$B$365,A126)</x:f>
        <x:v>12</x:v>
      </x:c>
      <x:c r="H126" s="1" t="n">
        <x:f>RANK(C126,$C$7:$C$134,0)</x:f>
        <x:v>98</x:v>
      </x:c>
    </x:row>
    <x:row r="127" ht="23" customHeight="1">
      <x:c r="A127" s="1" t="str">
        <x:v>Sydney-Melbourne</x:v>
      </x:c>
      <x:c r="B127" s="7" t="n">
        <x:f>SUMIFS('Route source'!$D$2:$D$365,'Route source'!$A$2:$A$365,Dashboard!$B$5,'Route source'!$B$2:$B$365,A127)</x:f>
        <x:v>25294</x:v>
      </x:c>
      <x:c r="C127" s="7" t="n">
        <x:f>SUMIFS('Route source'!$F$2:$F$365,'Route source'!$A$2:$A$365,Dashboard!$B$5,'Route source'!$B$2:$B$365,A127)</x:f>
        <x:v>1103</x:v>
      </x:c>
      <x:c r="D127" s="10" t="n">
        <x:f>IFERROR(C127/B127,"")</x:f>
        <x:v>0.04360717956827706</x:v>
      </x:c>
      <x:c r="E127" s="10" t="n">
        <x:f>IFERROR(SUMIFS('Route source'!$G$2:$G$365,'Route source'!$A$2:$A$365,Dashboard!$B$5,'Route source'!$B$2:$B$365,A127)/SUMIFS('Route source'!$E$2:$E$365,'Route source'!$A$2:$A$365,Dashboard!$B$5,'Route source'!$B$2:$B$365,A127),"")</x:f>
        <x:v>0.7647885577280807</x:v>
      </x:c>
      <x:c r="F127" s="7" t="n">
        <x:f>SUMIFS('Route source'!$H$2:$H$365,'Route source'!$A$2:$A$365,Dashboard!$B$5,'Route source'!$B$2:$B$365,A127)</x:f>
        <x:v>5690</x:v>
      </x:c>
      <x:c r="G127" s="1" t="n">
        <x:f>SUMIFS('Route source'!$C$2:$C$365,'Route source'!$A$2:$A$365,Dashboard!$B$5,'Route source'!$B$2:$B$365,A127)</x:f>
        <x:v>12</x:v>
      </x:c>
      <x:c r="H127" s="1" t="n">
        <x:f>RANK(C127,$C$7:$C$134,0)</x:f>
        <x:v>1</x:v>
      </x:c>
    </x:row>
    <x:row r="128" ht="23" customHeight="1">
      <x:c r="A128" s="1" t="str">
        <x:v>Sydney-Perth</x:v>
      </x:c>
      <x:c r="B128" s="7" t="n">
        <x:f>SUMIFS('Route source'!$D$2:$D$365,'Route source'!$A$2:$A$365,Dashboard!$B$5,'Route source'!$B$2:$B$365,A128)</x:f>
        <x:v>5331</x:v>
      </x:c>
      <x:c r="C128" s="7" t="n">
        <x:f>SUMIFS('Route source'!$F$2:$F$365,'Route source'!$A$2:$A$365,Dashboard!$B$5,'Route source'!$B$2:$B$365,A128)</x:f>
        <x:v>53</x:v>
      </x:c>
      <x:c r="D128" s="10" t="n">
        <x:f>IFERROR(C128/B128,"")</x:f>
        <x:v>0.009941849559182142</x:v>
      </x:c>
      <x:c r="E128" s="10" t="n">
        <x:f>IFERROR(SUMIFS('Route source'!$G$2:$G$365,'Route source'!$A$2:$A$365,Dashboard!$B$5,'Route source'!$B$2:$B$365,A128)/SUMIFS('Route source'!$E$2:$E$365,'Route source'!$A$2:$A$365,Dashboard!$B$5,'Route source'!$B$2:$B$365,A128),"")</x:f>
        <x:v>0.6818870784388026</x:v>
      </x:c>
      <x:c r="F128" s="7" t="n">
        <x:f>SUMIFS('Route source'!$H$2:$H$365,'Route source'!$A$2:$A$365,Dashboard!$B$5,'Route source'!$B$2:$B$365,A128)</x:f>
        <x:v>1679</x:v>
      </x:c>
      <x:c r="G128" s="1" t="n">
        <x:f>SUMIFS('Route source'!$C$2:$C$365,'Route source'!$A$2:$A$365,Dashboard!$B$5,'Route source'!$B$2:$B$365,A128)</x:f>
        <x:v>12</x:v>
      </x:c>
      <x:c r="H128" s="1" t="n">
        <x:f>RANK(C128,$C$7:$C$134,0)</x:f>
        <x:v>58</x:v>
      </x:c>
    </x:row>
    <x:row r="129" ht="23" customHeight="1">
      <x:c r="A129" s="1" t="str">
        <x:v>Sydney-Port Macquarie</x:v>
      </x:c>
      <x:c r="B129" s="7" t="n">
        <x:f>SUMIFS('Route source'!$D$2:$D$365,'Route source'!$A$2:$A$365,Dashboard!$B$5,'Route source'!$B$2:$B$365,A129)</x:f>
        <x:v>2036</x:v>
      </x:c>
      <x:c r="C129" s="7" t="n">
        <x:f>SUMIFS('Route source'!$F$2:$F$365,'Route source'!$A$2:$A$365,Dashboard!$B$5,'Route source'!$B$2:$B$365,A129)</x:f>
        <x:v>81</x:v>
      </x:c>
      <x:c r="D129" s="10" t="n">
        <x:f>IFERROR(C129/B129,"")</x:f>
        <x:v>0.039783889980353634</x:v>
      </x:c>
      <x:c r="E129" s="10" t="n">
        <x:f>IFERROR(SUMIFS('Route source'!$G$2:$G$365,'Route source'!$A$2:$A$365,Dashboard!$B$5,'Route source'!$B$2:$B$365,A129)/SUMIFS('Route source'!$E$2:$E$365,'Route source'!$A$2:$A$365,Dashboard!$B$5,'Route source'!$B$2:$B$365,A129),"")</x:f>
        <x:v>0.6997442455242967</x:v>
      </x:c>
      <x:c r="F129" s="7" t="n">
        <x:f>SUMIFS('Route source'!$H$2:$H$365,'Route source'!$A$2:$A$365,Dashboard!$B$5,'Route source'!$B$2:$B$365,A129)</x:f>
        <x:v>587</x:v>
      </x:c>
      <x:c r="G129" s="1" t="n">
        <x:f>SUMIFS('Route source'!$C$2:$C$365,'Route source'!$A$2:$A$365,Dashboard!$B$5,'Route source'!$B$2:$B$365,A129)</x:f>
        <x:v>12</x:v>
      </x:c>
      <x:c r="H129" s="1" t="n">
        <x:f>RANK(C129,$C$7:$C$134,0)</x:f>
        <x:v>33</x:v>
      </x:c>
    </x:row>
    <x:row r="130" ht="23" customHeight="1">
      <x:c r="A130" s="1" t="str">
        <x:v>Sydney-Sunshine Coast</x:v>
      </x:c>
      <x:c r="B130" s="7" t="n">
        <x:f>SUMIFS('Route source'!$D$2:$D$365,'Route source'!$A$2:$A$365,Dashboard!$B$5,'Route source'!$B$2:$B$365,A130)</x:f>
        <x:v>2634</x:v>
      </x:c>
      <x:c r="C130" s="7" t="n">
        <x:f>SUMIFS('Route source'!$F$2:$F$365,'Route source'!$A$2:$A$365,Dashboard!$B$5,'Route source'!$B$2:$B$365,A130)</x:f>
        <x:v>29</x:v>
      </x:c>
      <x:c r="D130" s="10" t="n">
        <x:f>IFERROR(C130/B130,"")</x:f>
        <x:v>0.011009870918754746</x:v>
      </x:c>
      <x:c r="E130" s="10" t="n">
        <x:f>IFERROR(SUMIFS('Route source'!$G$2:$G$365,'Route source'!$A$2:$A$365,Dashboard!$B$5,'Route source'!$B$2:$B$365,A130)/SUMIFS('Route source'!$E$2:$E$365,'Route source'!$A$2:$A$365,Dashboard!$B$5,'Route source'!$B$2:$B$365,A130),"")</x:f>
        <x:v>0.7485604606525912</x:v>
      </x:c>
      <x:c r="F130" s="7" t="n">
        <x:f>SUMIFS('Route source'!$H$2:$H$365,'Route source'!$A$2:$A$365,Dashboard!$B$5,'Route source'!$B$2:$B$365,A130)</x:f>
        <x:v>655</x:v>
      </x:c>
      <x:c r="G130" s="1" t="n">
        <x:f>SUMIFS('Route source'!$C$2:$C$365,'Route source'!$A$2:$A$365,Dashboard!$B$5,'Route source'!$B$2:$B$365,A130)</x:f>
        <x:v>12</x:v>
      </x:c>
      <x:c r="H130" s="1" t="n">
        <x:f>RANK(C130,$C$7:$C$134,0)</x:f>
        <x:v>73</x:v>
      </x:c>
    </x:row>
    <x:row r="131" ht="23" customHeight="1">
      <x:c r="A131" s="1" t="str">
        <x:v>Sydney-Wagga Wagga</x:v>
      </x:c>
      <x:c r="B131" s="7" t="n">
        <x:f>SUMIFS('Route source'!$D$2:$D$365,'Route source'!$A$2:$A$365,Dashboard!$B$5,'Route source'!$B$2:$B$365,A131)</x:f>
        <x:v>2183</x:v>
      </x:c>
      <x:c r="C131" s="7" t="n">
        <x:f>SUMIFS('Route source'!$F$2:$F$365,'Route source'!$A$2:$A$365,Dashboard!$B$5,'Route source'!$B$2:$B$365,A131)</x:f>
        <x:v>38</x:v>
      </x:c>
      <x:c r="D131" s="10" t="n">
        <x:f>IFERROR(C131/B131,"")</x:f>
        <x:v>0.017407237746220796</x:v>
      </x:c>
      <x:c r="E131" s="10" t="n">
        <x:f>IFERROR(SUMIFS('Route source'!$G$2:$G$365,'Route source'!$A$2:$A$365,Dashboard!$B$5,'Route source'!$B$2:$B$365,A131)/SUMIFS('Route source'!$E$2:$E$365,'Route source'!$A$2:$A$365,Dashboard!$B$5,'Route source'!$B$2:$B$365,A131),"")</x:f>
        <x:v>0.7906759906759907</x:v>
      </x:c>
      <x:c r="F131" s="7" t="n">
        <x:f>SUMIFS('Route source'!$H$2:$H$365,'Route source'!$A$2:$A$365,Dashboard!$B$5,'Route source'!$B$2:$B$365,A131)</x:f>
        <x:v>449</x:v>
      </x:c>
      <x:c r="G131" s="1" t="n">
        <x:f>SUMIFS('Route source'!$C$2:$C$365,'Route source'!$A$2:$A$365,Dashboard!$B$5,'Route source'!$B$2:$B$365,A131)</x:f>
        <x:v>12</x:v>
      </x:c>
      <x:c r="H131" s="1" t="n">
        <x:f>RANK(C131,$C$7:$C$134,0)</x:f>
        <x:v>69</x:v>
      </x:c>
    </x:row>
    <x:row r="132" ht="23" customHeight="1">
      <x:c r="A132" s="1" t="str">
        <x:v>Townsville-Brisbane</x:v>
      </x:c>
      <x:c r="B132" s="7" t="n">
        <x:f>SUMIFS('Route source'!$D$2:$D$365,'Route source'!$A$2:$A$365,Dashboard!$B$5,'Route source'!$B$2:$B$365,A132)</x:f>
        <x:v>4474</x:v>
      </x:c>
      <x:c r="C132" s="7" t="n">
        <x:f>SUMIFS('Route source'!$F$2:$F$365,'Route source'!$A$2:$A$365,Dashboard!$B$5,'Route source'!$B$2:$B$365,A132)</x:f>
        <x:v>101</x:v>
      </x:c>
      <x:c r="D132" s="10" t="n">
        <x:f>IFERROR(C132/B132,"")</x:f>
        <x:v>0.022574877067501116</x:v>
      </x:c>
      <x:c r="E132" s="10" t="n">
        <x:f>IFERROR(SUMIFS('Route source'!$G$2:$G$365,'Route source'!$A$2:$A$365,Dashboard!$B$5,'Route source'!$B$2:$B$365,A132)/SUMIFS('Route source'!$E$2:$E$365,'Route source'!$A$2:$A$365,Dashboard!$B$5,'Route source'!$B$2:$B$365,A132),"")</x:f>
        <x:v>0.7434255659730162</x:v>
      </x:c>
      <x:c r="F132" s="7" t="n">
        <x:f>SUMIFS('Route source'!$H$2:$H$365,'Route source'!$A$2:$A$365,Dashboard!$B$5,'Route source'!$B$2:$B$365,A132)</x:f>
        <x:v>1122</x:v>
      </x:c>
      <x:c r="G132" s="1" t="n">
        <x:f>SUMIFS('Route source'!$C$2:$C$365,'Route source'!$A$2:$A$365,Dashboard!$B$5,'Route source'!$B$2:$B$365,A132)</x:f>
        <x:v>12</x:v>
      </x:c>
      <x:c r="H132" s="1" t="n">
        <x:f>RANK(C132,$C$7:$C$134,0)</x:f>
        <x:v>24</x:v>
      </x:c>
    </x:row>
    <x:row r="133" ht="23" customHeight="1">
      <x:c r="A133" s="1" t="str">
        <x:v>Townsville-Cairns</x:v>
      </x:c>
      <x:c r="B133" s="7" t="n">
        <x:f>SUMIFS('Route source'!$D$2:$D$365,'Route source'!$A$2:$A$365,Dashboard!$B$5,'Route source'!$B$2:$B$365,A133)</x:f>
        <x:v>134</x:v>
      </x:c>
      <x:c r="C133" s="7" t="n">
        <x:f>SUMIFS('Route source'!$F$2:$F$365,'Route source'!$A$2:$A$365,Dashboard!$B$5,'Route source'!$B$2:$B$365,A133)</x:f>
        <x:v>2</x:v>
      </x:c>
      <x:c r="D133" s="10" t="n">
        <x:f>IFERROR(C133/B133,"")</x:f>
        <x:v>0.014925373134328358</x:v>
      </x:c>
      <x:c r="E133" s="10" t="n">
        <x:f>IFERROR(SUMIFS('Route source'!$G$2:$G$365,'Route source'!$A$2:$A$365,Dashboard!$B$5,'Route source'!$B$2:$B$365,A133)/SUMIFS('Route source'!$E$2:$E$365,'Route source'!$A$2:$A$365,Dashboard!$B$5,'Route source'!$B$2:$B$365,A133),"")</x:f>
        <x:v>0.9090909090909091</x:v>
      </x:c>
      <x:c r="F133" s="7" t="n">
        <x:f>SUMIFS('Route source'!$H$2:$H$365,'Route source'!$A$2:$A$365,Dashboard!$B$5,'Route source'!$B$2:$B$365,A133)</x:f>
        <x:v>12</x:v>
      </x:c>
      <x:c r="G133" s="1" t="n">
        <x:f>SUMIFS('Route source'!$C$2:$C$365,'Route source'!$A$2:$A$365,Dashboard!$B$5,'Route source'!$B$2:$B$365,A133)</x:f>
        <x:v>1</x:v>
      </x:c>
      <x:c r="H133" s="1" t="n">
        <x:f>RANK(C133,$C$7:$C$134,0)</x:f>
        <x:v>116</x:v>
      </x:c>
    </x:row>
    <x:row r="134" ht="23" customHeight="1">
      <x:c r="A134" s="1" t="str">
        <x:v>Wagga Wagga-Sydney</x:v>
      </x:c>
      <x:c r="B134" s="7" t="n">
        <x:f>SUMIFS('Route source'!$D$2:$D$365,'Route source'!$A$2:$A$365,Dashboard!$B$5,'Route source'!$B$2:$B$365,A134)</x:f>
        <x:v>2186</x:v>
      </x:c>
      <x:c r="C134" s="7" t="n">
        <x:f>SUMIFS('Route source'!$F$2:$F$365,'Route source'!$A$2:$A$365,Dashboard!$B$5,'Route source'!$B$2:$B$365,A134)</x:f>
        <x:v>50</x:v>
      </x:c>
      <x:c r="D134" s="10" t="n">
        <x:f>IFERROR(C134/B134,"")</x:f>
        <x:v>0.022872827081427266</x:v>
      </x:c>
      <x:c r="E134" s="10" t="n">
        <x:f>IFERROR(SUMIFS('Route source'!$G$2:$G$365,'Route source'!$A$2:$A$365,Dashboard!$B$5,'Route source'!$B$2:$B$365,A134)/SUMIFS('Route source'!$E$2:$E$365,'Route source'!$A$2:$A$365,Dashboard!$B$5,'Route source'!$B$2:$B$365,A134),"")</x:f>
        <x:v>0.7734082397003745</x:v>
      </x:c>
      <x:c r="F134" s="7" t="n">
        <x:f>SUMIFS('Route source'!$H$2:$H$365,'Route source'!$A$2:$A$365,Dashboard!$B$5,'Route source'!$B$2:$B$365,A134)</x:f>
        <x:v>484</x:v>
      </x:c>
      <x:c r="G134" s="1" t="n">
        <x:f>SUMIFS('Route source'!$C$2:$C$365,'Route source'!$A$2:$A$365,Dashboard!$B$5,'Route source'!$B$2:$B$365,A134)</x:f>
        <x:v>12</x:v>
      </x:c>
      <x:c r="H134" s="1" t="n">
        <x:f>RANK(C134,$C$7:$C$134,0)</x:f>
        <x:v>62</x:v>
      </x:c>
    </x:row>
    <x:row r="135" ht="23" customHeight="1">
      <x:c r="A135" s="1"/>
      <x:c r="B135" s="1"/>
      <x:c r="C135" s="1"/>
      <x:c r="D135" s="1"/>
      <x:c r="E135" s="1"/>
      <x:c r="F135" s="1"/>
      <x:c r="G135" s="1"/>
      <x:c r="H135" s="1"/>
    </x:row>
    <x:row r="136" ht="23" customHeight="1">
      <x:c r="A136" s="1"/>
      <x:c r="B136" s="1"/>
      <x:c r="C136" s="1"/>
      <x:c r="D136" s="1"/>
      <x:c r="E136" s="1"/>
      <x:c r="F136" s="1"/>
      <x:c r="G136" s="1"/>
      <x:c r="H136" s="1"/>
    </x:row>
    <x:row r="137" ht="23" customHeight="1">
      <x:c r="A137" s="1"/>
      <x:c r="B137" s="1"/>
      <x:c r="C137" s="1"/>
      <x:c r="D137" s="1"/>
      <x:c r="E137" s="1"/>
      <x:c r="F137" s="1"/>
      <x:c r="G137" s="1"/>
      <x:c r="H137" s="1"/>
    </x:row>
    <x:row r="138" ht="23" customHeight="1">
      <x:c r="A138" s="1"/>
      <x:c r="B138" s="1"/>
      <x:c r="C138" s="1"/>
      <x:c r="D138" s="1"/>
      <x:c r="E138" s="1"/>
      <x:c r="F138" s="1"/>
      <x:c r="G138" s="1"/>
      <x:c r="H138" s="1"/>
    </x:row>
    <x:row r="139" ht="23" customHeight="1">
      <x:c r="A139" s="1"/>
      <x:c r="B139" s="1"/>
      <x:c r="C139" s="1"/>
      <x:c r="D139" s="1"/>
      <x:c r="E139" s="1"/>
      <x:c r="F139" s="1"/>
      <x:c r="G139" s="1"/>
      <x:c r="H139" s="1"/>
    </x:row>
    <x:row r="140" ht="23" customHeight="1">
      <x:c r="A140" s="1"/>
      <x:c r="B140" s="1"/>
      <x:c r="C140" s="1"/>
      <x:c r="D140" s="1"/>
      <x:c r="E140" s="1"/>
      <x:c r="F140" s="1"/>
      <x:c r="G140" s="1"/>
      <x:c r="H140" s="1"/>
    </x:row>
  </x:sheetData>
  <x:mergeCells>
    <x:mergeCell ref="A1:H2"/>
    <x:mergeCell ref="A3:H3"/>
    <x:mergeCell ref="A4:H4"/>
  </x:mergeCells>
  <x:conditionalFormatting sqref="D7:D134">
    <x:cfRule type="cellIs" dxfId="0" priority="1" operator="greaterThan">
      <x:formula>0.04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f4432b4fa04704"/>
  </x:tableParts>
</x:worksheet>
</file>

<file path=xl/worksheets/sheet3.xml><?xml version="1.0" encoding="utf-8"?>
<x:worksheet xmlns:x="http://schemas.openxmlformats.org/spreadsheetml/2006/main">
  <x:sheetPr>
    <x:tabColor rgb="FF007F8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3" customHeight="1">
      <x:c r="A1" s="14" t="str">
        <x:v>Year</x:v>
      </x:c>
      <x:c r="B1" s="14" t="str">
        <x:v>Month no.</x:v>
      </x:c>
      <x:c r="C1" s="14" t="str">
        <x:v>Month</x:v>
      </x:c>
      <x:c r="D1" s="14" t="str">
        <x:v>Scheduled</x:v>
      </x:c>
      <x:c r="E1" s="14" t="str">
        <x:v>Flown</x:v>
      </x:c>
      <x:c r="F1" s="14" t="str">
        <x:v>Cancelled</x:v>
      </x:c>
      <x:c r="G1" s="14" t="str">
        <x:v>On-time arrivals</x:v>
      </x:c>
      <x:c r="H1" s="14" t="str">
        <x:v>On-time departures</x:v>
      </x:c>
      <x:c r="I1" s="14" t="str">
        <x:v>Delayed arrivals</x:v>
      </x:c>
    </x:row>
    <x:row r="2" ht="23" customHeight="1">
      <x:c r="A2" s="1" t="n">
        <x:v>2023</x:v>
      </x:c>
      <x:c r="B2" s="1" t="n">
        <x:v>1</x:v>
      </x:c>
      <x:c r="C2" s="1" t="str">
        <x:v>2023-01</x:v>
      </x:c>
      <x:c r="D2" s="1" t="n">
        <x:v>35133</x:v>
      </x:c>
      <x:c r="E2" s="1" t="n">
        <x:v>33877</x:v>
      </x:c>
      <x:c r="F2" s="1" t="n">
        <x:v>1256</x:v>
      </x:c>
      <x:c r="G2" s="1" t="n">
        <x:v>25667</x:v>
      </x:c>
      <x:c r="H2" s="1" t="n">
        <x:v>25653</x:v>
      </x:c>
      <x:c r="I2" s="1" t="n">
        <x:v>8210</x:v>
      </x:c>
    </x:row>
    <x:row r="3" ht="23" customHeight="1">
      <x:c r="A3" s="1" t="n">
        <x:v>2023</x:v>
      </x:c>
      <x:c r="B3" s="1" t="n">
        <x:v>2</x:v>
      </x:c>
      <x:c r="C3" s="1" t="str">
        <x:v>2023-02</x:v>
      </x:c>
      <x:c r="D3" s="1" t="n">
        <x:v>32198</x:v>
      </x:c>
      <x:c r="E3" s="1" t="n">
        <x:v>30764</x:v>
      </x:c>
      <x:c r="F3" s="1" t="n">
        <x:v>1434</x:v>
      </x:c>
      <x:c r="G3" s="1" t="n">
        <x:v>22387</x:v>
      </x:c>
      <x:c r="H3" s="1" t="n">
        <x:v>22633</x:v>
      </x:c>
      <x:c r="I3" s="1" t="n">
        <x:v>8377</x:v>
      </x:c>
    </x:row>
    <x:row r="4" ht="23" customHeight="1">
      <x:c r="A4" s="1" t="n">
        <x:v>2023</x:v>
      </x:c>
      <x:c r="B4" s="1" t="n">
        <x:v>3</x:v>
      </x:c>
      <x:c r="C4" s="1" t="str">
        <x:v>2023-03</x:v>
      </x:c>
      <x:c r="D4" s="1" t="n">
        <x:v>36425</x:v>
      </x:c>
      <x:c r="E4" s="1" t="n">
        <x:v>34968</x:v>
      </x:c>
      <x:c r="F4" s="1" t="n">
        <x:v>1457</x:v>
      </x:c>
      <x:c r="G4" s="1" t="n">
        <x:v>24487</x:v>
      </x:c>
      <x:c r="H4" s="1" t="n">
        <x:v>24669</x:v>
      </x:c>
      <x:c r="I4" s="1" t="n">
        <x:v>10481</x:v>
      </x:c>
    </x:row>
    <x:row r="5" ht="23" customHeight="1">
      <x:c r="A5" s="1" t="n">
        <x:v>2023</x:v>
      </x:c>
      <x:c r="B5" s="1" t="n">
        <x:v>4</x:v>
      </x:c>
      <x:c r="C5" s="1" t="str">
        <x:v>2023-04</x:v>
      </x:c>
      <x:c r="D5" s="1" t="n">
        <x:v>35641</x:v>
      </x:c>
      <x:c r="E5" s="1" t="n">
        <x:v>34107</x:v>
      </x:c>
      <x:c r="F5" s="1" t="n">
        <x:v>1534</x:v>
      </x:c>
      <x:c r="G5" s="1" t="n">
        <x:v>24194</x:v>
      </x:c>
      <x:c r="H5" s="1" t="n">
        <x:v>24006</x:v>
      </x:c>
      <x:c r="I5" s="1" t="n">
        <x:v>9913</x:v>
      </x:c>
    </x:row>
    <x:row r="6" ht="23" customHeight="1">
      <x:c r="A6" s="1" t="n">
        <x:v>2023</x:v>
      </x:c>
      <x:c r="B6" s="1" t="n">
        <x:v>5</x:v>
      </x:c>
      <x:c r="C6" s="1" t="str">
        <x:v>2023-05</x:v>
      </x:c>
      <x:c r="D6" s="1" t="n">
        <x:v>36593</x:v>
      </x:c>
      <x:c r="E6" s="1" t="n">
        <x:v>35392</x:v>
      </x:c>
      <x:c r="F6" s="1" t="n">
        <x:v>1201</x:v>
      </x:c>
      <x:c r="G6" s="1" t="n">
        <x:v>25838</x:v>
      </x:c>
      <x:c r="H6" s="1" t="n">
        <x:v>25815</x:v>
      </x:c>
      <x:c r="I6" s="1" t="n">
        <x:v>9554</x:v>
      </x:c>
    </x:row>
    <x:row r="7" ht="23" customHeight="1">
      <x:c r="A7" s="1" t="n">
        <x:v>2023</x:v>
      </x:c>
      <x:c r="B7" s="1" t="n">
        <x:v>6</x:v>
      </x:c>
      <x:c r="C7" s="1" t="str">
        <x:v>2023-06</x:v>
      </x:c>
      <x:c r="D7" s="1" t="n">
        <x:v>35534</x:v>
      </x:c>
      <x:c r="E7" s="1" t="n">
        <x:v>34111</x:v>
      </x:c>
      <x:c r="F7" s="1" t="n">
        <x:v>1423</x:v>
      </x:c>
      <x:c r="G7" s="1" t="n">
        <x:v>23107</x:v>
      </x:c>
      <x:c r="H7" s="1" t="n">
        <x:v>23598</x:v>
      </x:c>
      <x:c r="I7" s="1" t="n">
        <x:v>11004</x:v>
      </x:c>
    </x:row>
    <x:row r="8" ht="23" customHeight="1">
      <x:c r="A8" s="1" t="n">
        <x:v>2023</x:v>
      </x:c>
      <x:c r="B8" s="1" t="n">
        <x:v>7</x:v>
      </x:c>
      <x:c r="C8" s="1" t="str">
        <x:v>2023-07</x:v>
      </x:c>
      <x:c r="D8" s="1" t="n">
        <x:v>37034</x:v>
      </x:c>
      <x:c r="E8" s="1" t="n">
        <x:v>35447</x:v>
      </x:c>
      <x:c r="F8" s="1" t="n">
        <x:v>1587</x:v>
      </x:c>
      <x:c r="G8" s="1" t="n">
        <x:v>23717</x:v>
      </x:c>
      <x:c r="H8" s="1" t="n">
        <x:v>23637</x:v>
      </x:c>
      <x:c r="I8" s="1" t="n">
        <x:v>11730</x:v>
      </x:c>
    </x:row>
    <x:row r="9" ht="23" customHeight="1">
      <x:c r="A9" s="1" t="n">
        <x:v>2023</x:v>
      </x:c>
      <x:c r="B9" s="1" t="n">
        <x:v>8</x:v>
      </x:c>
      <x:c r="C9" s="1" t="str">
        <x:v>2023-08</x:v>
      </x:c>
      <x:c r="D9" s="1" t="n">
        <x:v>37355</x:v>
      </x:c>
      <x:c r="E9" s="1" t="n">
        <x:v>35816</x:v>
      </x:c>
      <x:c r="F9" s="1" t="n">
        <x:v>1539</x:v>
      </x:c>
      <x:c r="G9" s="1" t="n">
        <x:v>25551</x:v>
      </x:c>
      <x:c r="H9" s="1" t="n">
        <x:v>25762</x:v>
      </x:c>
      <x:c r="I9" s="1" t="n">
        <x:v>10265</x:v>
      </x:c>
    </x:row>
    <x:row r="10" ht="23" customHeight="1">
      <x:c r="A10" s="1" t="n">
        <x:v>2023</x:v>
      </x:c>
      <x:c r="B10" s="1" t="n">
        <x:v>9</x:v>
      </x:c>
      <x:c r="C10" s="1" t="str">
        <x:v>2023-09</x:v>
      </x:c>
      <x:c r="D10" s="1" t="n">
        <x:v>36801</x:v>
      </x:c>
      <x:c r="E10" s="1" t="n">
        <x:v>35339</x:v>
      </x:c>
      <x:c r="F10" s="1" t="n">
        <x:v>1462</x:v>
      </x:c>
      <x:c r="G10" s="1" t="n">
        <x:v>25155</x:v>
      </x:c>
      <x:c r="H10" s="1" t="n">
        <x:v>24929</x:v>
      </x:c>
      <x:c r="I10" s="1" t="n">
        <x:v>10184</x:v>
      </x:c>
    </x:row>
    <x:row r="11" ht="23" customHeight="1">
      <x:c r="A11" s="1" t="n">
        <x:v>2023</x:v>
      </x:c>
      <x:c r="B11" s="1" t="n">
        <x:v>10</x:v>
      </x:c>
      <x:c r="C11" s="1" t="str">
        <x:v>2023-10</x:v>
      </x:c>
      <x:c r="D11" s="1" t="n">
        <x:v>37894</x:v>
      </x:c>
      <x:c r="E11" s="1" t="n">
        <x:v>36331</x:v>
      </x:c>
      <x:c r="F11" s="1" t="n">
        <x:v>1563</x:v>
      </x:c>
      <x:c r="G11" s="1" t="n">
        <x:v>25417</x:v>
      </x:c>
      <x:c r="H11" s="1" t="n">
        <x:v>25367</x:v>
      </x:c>
      <x:c r="I11" s="1" t="n">
        <x:v>10914</x:v>
      </x:c>
    </x:row>
    <x:row r="12" ht="23" customHeight="1">
      <x:c r="A12" s="1" t="n">
        <x:v>2023</x:v>
      </x:c>
      <x:c r="B12" s="1" t="n">
        <x:v>11</x:v>
      </x:c>
      <x:c r="C12" s="1" t="str">
        <x:v>2023-11</x:v>
      </x:c>
      <x:c r="D12" s="1" t="n">
        <x:v>35799</x:v>
      </x:c>
      <x:c r="E12" s="1" t="n">
        <x:v>34383</x:v>
      </x:c>
      <x:c r="F12" s="1" t="n">
        <x:v>1416</x:v>
      </x:c>
      <x:c r="G12" s="1" t="n">
        <x:v>21299</x:v>
      </x:c>
      <x:c r="H12" s="1" t="n">
        <x:v>21960</x:v>
      </x:c>
      <x:c r="I12" s="1" t="n">
        <x:v>13084</x:v>
      </x:c>
    </x:row>
    <x:row r="13" ht="23" customHeight="1">
      <x:c r="A13" s="1" t="n">
        <x:v>2023</x:v>
      </x:c>
      <x:c r="B13" s="1" t="n">
        <x:v>12</x:v>
      </x:c>
      <x:c r="C13" s="1" t="str">
        <x:v>2023-12</x:v>
      </x:c>
      <x:c r="D13" s="1" t="n">
        <x:v>36095</x:v>
      </x:c>
      <x:c r="E13" s="1" t="n">
        <x:v>34260</x:v>
      </x:c>
      <x:c r="F13" s="1" t="n">
        <x:v>1835</x:v>
      </x:c>
      <x:c r="G13" s="1" t="n">
        <x:v>21131</x:v>
      </x:c>
      <x:c r="H13" s="1" t="n">
        <x:v>21718</x:v>
      </x:c>
      <x:c r="I13" s="1" t="n">
        <x:v>13129</x:v>
      </x:c>
    </x:row>
    <x:row r="14" ht="23" customHeight="1">
      <x:c r="A14" s="1" t="n">
        <x:v>2024</x:v>
      </x:c>
      <x:c r="B14" s="1" t="n">
        <x:v>1</x:v>
      </x:c>
      <x:c r="C14" s="1" t="str">
        <x:v>2024-01</x:v>
      </x:c>
      <x:c r="D14" s="1" t="n">
        <x:v>36228</x:v>
      </x:c>
      <x:c r="E14" s="1" t="n">
        <x:v>35046</x:v>
      </x:c>
      <x:c r="F14" s="1" t="n">
        <x:v>1182</x:v>
      </x:c>
      <x:c r="G14" s="1" t="n">
        <x:v>25293</x:v>
      </x:c>
      <x:c r="H14" s="1" t="n">
        <x:v>25504</x:v>
      </x:c>
      <x:c r="I14" s="1" t="n">
        <x:v>9753</x:v>
      </x:c>
    </x:row>
    <x:row r="15" ht="23" customHeight="1">
      <x:c r="A15" s="1" t="n">
        <x:v>2024</x:v>
      </x:c>
      <x:c r="B15" s="1" t="n">
        <x:v>2</x:v>
      </x:c>
      <x:c r="C15" s="1" t="str">
        <x:v>2024-02</x:v>
      </x:c>
      <x:c r="D15" s="1" t="n">
        <x:v>34129</x:v>
      </x:c>
      <x:c r="E15" s="1" t="n">
        <x:v>32775</x:v>
      </x:c>
      <x:c r="F15" s="1" t="n">
        <x:v>1354</x:v>
      </x:c>
      <x:c r="G15" s="1" t="n">
        <x:v>23606</x:v>
      </x:c>
      <x:c r="H15" s="1" t="n">
        <x:v>24125</x:v>
      </x:c>
      <x:c r="I15" s="1" t="n">
        <x:v>9169</x:v>
      </x:c>
    </x:row>
    <x:row r="16" ht="23" customHeight="1">
      <x:c r="A16" s="1" t="n">
        <x:v>2024</x:v>
      </x:c>
      <x:c r="B16" s="1" t="n">
        <x:v>3</x:v>
      </x:c>
      <x:c r="C16" s="1" t="str">
        <x:v>2024-03</x:v>
      </x:c>
      <x:c r="D16" s="1" t="n">
        <x:v>36537</x:v>
      </x:c>
      <x:c r="E16" s="1" t="n">
        <x:v>35466</x:v>
      </x:c>
      <x:c r="F16" s="1" t="n">
        <x:v>1071</x:v>
      </x:c>
      <x:c r="G16" s="1" t="n">
        <x:v>27197</x:v>
      </x:c>
      <x:c r="H16" s="1" t="n">
        <x:v>27389</x:v>
      </x:c>
      <x:c r="I16" s="1" t="n">
        <x:v>8269</x:v>
      </x:c>
    </x:row>
    <x:row r="17" ht="23" customHeight="1">
      <x:c r="A17" s="1" t="n">
        <x:v>2024</x:v>
      </x:c>
      <x:c r="B17" s="1" t="n">
        <x:v>4</x:v>
      </x:c>
      <x:c r="C17" s="1" t="str">
        <x:v>2024-04</x:v>
      </x:c>
      <x:c r="D17" s="1" t="n">
        <x:v>36359</x:v>
      </x:c>
      <x:c r="E17" s="1" t="n">
        <x:v>35610</x:v>
      </x:c>
      <x:c r="F17" s="1" t="n">
        <x:v>749</x:v>
      </x:c>
      <x:c r="G17" s="1" t="n">
        <x:v>27986</x:v>
      </x:c>
      <x:c r="H17" s="1" t="n">
        <x:v>28168</x:v>
      </x:c>
      <x:c r="I17" s="1" t="n">
        <x:v>7624</x:v>
      </x:c>
    </x:row>
    <x:row r="18" ht="23" customHeight="1">
      <x:c r="A18" s="1" t="n">
        <x:v>2024</x:v>
      </x:c>
      <x:c r="B18" s="1" t="n">
        <x:v>5</x:v>
      </x:c>
      <x:c r="C18" s="1" t="str">
        <x:v>2024-05</x:v>
      </x:c>
      <x:c r="D18" s="1" t="n">
        <x:v>35998</x:v>
      </x:c>
      <x:c r="E18" s="1" t="n">
        <x:v>35210</x:v>
      </x:c>
      <x:c r="F18" s="1" t="n">
        <x:v>788</x:v>
      </x:c>
      <x:c r="G18" s="1" t="n">
        <x:v>27651</x:v>
      </x:c>
      <x:c r="H18" s="1" t="n">
        <x:v>27959</x:v>
      </x:c>
      <x:c r="I18" s="1" t="n">
        <x:v>7559</x:v>
      </x:c>
    </x:row>
    <x:row r="19" ht="23" customHeight="1">
      <x:c r="A19" s="1" t="n">
        <x:v>2024</x:v>
      </x:c>
      <x:c r="B19" s="1" t="n">
        <x:v>6</x:v>
      </x:c>
      <x:c r="C19" s="1" t="str">
        <x:v>2024-06</x:v>
      </x:c>
      <x:c r="D19" s="1" t="n">
        <x:v>34399</x:v>
      </x:c>
      <x:c r="E19" s="1" t="n">
        <x:v>33488</x:v>
      </x:c>
      <x:c r="F19" s="1" t="n">
        <x:v>911</x:v>
      </x:c>
      <x:c r="G19" s="1" t="n">
        <x:v>25562</x:v>
      </x:c>
      <x:c r="H19" s="1" t="n">
        <x:v>25857</x:v>
      </x:c>
      <x:c r="I19" s="1" t="n">
        <x:v>7926</x:v>
      </x:c>
    </x:row>
    <x:row r="20" ht="23" customHeight="1">
      <x:c r="A20" s="1" t="n">
        <x:v>2024</x:v>
      </x:c>
      <x:c r="B20" s="1" t="n">
        <x:v>7</x:v>
      </x:c>
      <x:c r="C20" s="1" t="str">
        <x:v>2024-07</x:v>
      </x:c>
      <x:c r="D20" s="1" t="n">
        <x:v>37496</x:v>
      </x:c>
      <x:c r="E20" s="1" t="n">
        <x:v>36314</x:v>
      </x:c>
      <x:c r="F20" s="1" t="n">
        <x:v>1182</x:v>
      </x:c>
      <x:c r="G20" s="1" t="n">
        <x:v>25404</x:v>
      </x:c>
      <x:c r="H20" s="1" t="n">
        <x:v>25888</x:v>
      </x:c>
      <x:c r="I20" s="1" t="n">
        <x:v>10910</x:v>
      </x:c>
    </x:row>
    <x:row r="21" ht="23" customHeight="1">
      <x:c r="A21" s="1" t="n">
        <x:v>2024</x:v>
      </x:c>
      <x:c r="B21" s="1" t="n">
        <x:v>8</x:v>
      </x:c>
      <x:c r="C21" s="1" t="str">
        <x:v>2024-08</x:v>
      </x:c>
      <x:c r="D21" s="1" t="n">
        <x:v>35024</x:v>
      </x:c>
      <x:c r="E21" s="1" t="n">
        <x:v>33903</x:v>
      </x:c>
      <x:c r="F21" s="1" t="n">
        <x:v>1121</x:v>
      </x:c>
      <x:c r="G21" s="1" t="n">
        <x:v>24127</x:v>
      </x:c>
      <x:c r="H21" s="1" t="n">
        <x:v>24615</x:v>
      </x:c>
      <x:c r="I21" s="1" t="n">
        <x:v>9776</x:v>
      </x:c>
    </x:row>
    <x:row r="22" ht="23" customHeight="1">
      <x:c r="A22" s="1" t="n">
        <x:v>2024</x:v>
      </x:c>
      <x:c r="B22" s="1" t="n">
        <x:v>9</x:v>
      </x:c>
      <x:c r="C22" s="1" t="str">
        <x:v>2024-09</x:v>
      </x:c>
      <x:c r="D22" s="1" t="n">
        <x:v>34886</x:v>
      </x:c>
      <x:c r="E22" s="1" t="n">
        <x:v>34137</x:v>
      </x:c>
      <x:c r="F22" s="1" t="n">
        <x:v>749</x:v>
      </x:c>
      <x:c r="G22" s="1" t="n">
        <x:v>25196</x:v>
      </x:c>
      <x:c r="H22" s="1" t="n">
        <x:v>25378</x:v>
      </x:c>
      <x:c r="I22" s="1" t="n">
        <x:v>8941</x:v>
      </x:c>
    </x:row>
    <x:row r="23" ht="23" customHeight="1">
      <x:c r="A23" s="1" t="n">
        <x:v>2024</x:v>
      </x:c>
      <x:c r="B23" s="1" t="n">
        <x:v>10</x:v>
      </x:c>
      <x:c r="C23" s="1" t="str">
        <x:v>2024-10</x:v>
      </x:c>
      <x:c r="D23" s="1" t="n">
        <x:v>36004</x:v>
      </x:c>
      <x:c r="E23" s="1" t="n">
        <x:v>35382</x:v>
      </x:c>
      <x:c r="F23" s="1" t="n">
        <x:v>622</x:v>
      </x:c>
      <x:c r="G23" s="1" t="n">
        <x:v>25563</x:v>
      </x:c>
      <x:c r="H23" s="1" t="n">
        <x:v>25652</x:v>
      </x:c>
      <x:c r="I23" s="1" t="n">
        <x:v>9819</x:v>
      </x:c>
    </x:row>
    <x:row r="24" ht="23" customHeight="1">
      <x:c r="A24" s="1" t="n">
        <x:v>2024</x:v>
      </x:c>
      <x:c r="B24" s="1" t="n">
        <x:v>11</x:v>
      </x:c>
      <x:c r="C24" s="1" t="str">
        <x:v>2024-11</x:v>
      </x:c>
      <x:c r="D24" s="1" t="n">
        <x:v>33946</x:v>
      </x:c>
      <x:c r="E24" s="1" t="n">
        <x:v>33060</x:v>
      </x:c>
      <x:c r="F24" s="1" t="n">
        <x:v>886</x:v>
      </x:c>
      <x:c r="G24" s="1" t="n">
        <x:v>21379</x:v>
      </x:c>
      <x:c r="H24" s="1" t="n">
        <x:v>21567</x:v>
      </x:c>
      <x:c r="I24" s="1" t="n">
        <x:v>11681</x:v>
      </x:c>
    </x:row>
    <x:row r="25" ht="23" customHeight="1">
      <x:c r="A25" s="1" t="n">
        <x:v>2024</x:v>
      </x:c>
      <x:c r="B25" s="1" t="n">
        <x:v>12</x:v>
      </x:c>
      <x:c r="C25" s="1" t="str">
        <x:v>2024-12</x:v>
      </x:c>
      <x:c r="D25" s="1" t="n">
        <x:v>34596</x:v>
      </x:c>
      <x:c r="E25" s="1" t="n">
        <x:v>33986</x:v>
      </x:c>
      <x:c r="F25" s="1" t="n">
        <x:v>610</x:v>
      </x:c>
      <x:c r="G25" s="1" t="n">
        <x:v>24785</x:v>
      </x:c>
      <x:c r="H25" s="1" t="n">
        <x:v>24465</x:v>
      </x:c>
      <x:c r="I25" s="1" t="n">
        <x:v>9201</x:v>
      </x:c>
    </x:row>
    <x:row r="26" ht="23" customHeight="1">
      <x:c r="A26" s="1" t="n">
        <x:v>2025</x:v>
      </x:c>
      <x:c r="B26" s="1" t="n">
        <x:v>1</x:v>
      </x:c>
      <x:c r="C26" s="1" t="str">
        <x:v>2025-01</x:v>
      </x:c>
      <x:c r="D26" s="1" t="n">
        <x:v>33922</x:v>
      </x:c>
      <x:c r="E26" s="1" t="n">
        <x:v>33258</x:v>
      </x:c>
      <x:c r="F26" s="1" t="n">
        <x:v>664</x:v>
      </x:c>
      <x:c r="G26" s="1" t="n">
        <x:v>24417</x:v>
      </x:c>
      <x:c r="H26" s="1" t="n">
        <x:v>24325</x:v>
      </x:c>
      <x:c r="I26" s="1" t="n">
        <x:v>8841</x:v>
      </x:c>
    </x:row>
    <x:row r="27" ht="23" customHeight="1">
      <x:c r="A27" s="1" t="n">
        <x:v>2025</x:v>
      </x:c>
      <x:c r="B27" s="1" t="n">
        <x:v>2</x:v>
      </x:c>
      <x:c r="C27" s="1" t="str">
        <x:v>2025-02</x:v>
      </x:c>
      <x:c r="D27" s="1" t="n">
        <x:v>30721</x:v>
      </x:c>
      <x:c r="E27" s="1" t="n">
        <x:v>29968</x:v>
      </x:c>
      <x:c r="F27" s="1" t="n">
        <x:v>753</x:v>
      </x:c>
      <x:c r="G27" s="1" t="n">
        <x:v>23964</x:v>
      </x:c>
      <x:c r="H27" s="1" t="n">
        <x:v>23942</x:v>
      </x:c>
      <x:c r="I27" s="1" t="n">
        <x:v>6004</x:v>
      </x:c>
    </x:row>
    <x:row r="28" ht="23" customHeight="1">
      <x:c r="A28" s="1" t="n">
        <x:v>2025</x:v>
      </x:c>
      <x:c r="B28" s="1" t="n">
        <x:v>3</x:v>
      </x:c>
      <x:c r="C28" s="1" t="str">
        <x:v>2025-03</x:v>
      </x:c>
      <x:c r="D28" s="1" t="n">
        <x:v>34373</x:v>
      </x:c>
      <x:c r="E28" s="1" t="n">
        <x:v>32615</x:v>
      </x:c>
      <x:c r="F28" s="1" t="n">
        <x:v>1758</x:v>
      </x:c>
      <x:c r="G28" s="1" t="n">
        <x:v>26142</x:v>
      </x:c>
      <x:c r="H28" s="1" t="n">
        <x:v>26233</x:v>
      </x:c>
      <x:c r="I28" s="1" t="n">
        <x:v>6473</x:v>
      </x:c>
    </x:row>
    <x:row r="29" ht="23" customHeight="1">
      <x:c r="A29" s="1" t="n">
        <x:v>2025</x:v>
      </x:c>
      <x:c r="B29" s="1" t="n">
        <x:v>4</x:v>
      </x:c>
      <x:c r="C29" s="1" t="str">
        <x:v>2025-04</x:v>
      </x:c>
      <x:c r="D29" s="1" t="n">
        <x:v>34966</x:v>
      </x:c>
      <x:c r="E29" s="1" t="n">
        <x:v>34417</x:v>
      </x:c>
      <x:c r="F29" s="1" t="n">
        <x:v>549</x:v>
      </x:c>
      <x:c r="G29" s="1" t="n">
        <x:v>28436</x:v>
      </x:c>
      <x:c r="H29" s="1" t="n">
        <x:v>28278</x:v>
      </x:c>
      <x:c r="I29" s="1" t="n">
        <x:v>5981</x:v>
      </x:c>
    </x:row>
    <x:row r="30" ht="23" customHeight="1">
      <x:c r="A30" s="1" t="n">
        <x:v>2025</x:v>
      </x:c>
      <x:c r="B30" s="1" t="n">
        <x:v>5</x:v>
      </x:c>
      <x:c r="C30" s="1" t="str">
        <x:v>2025-05</x:v>
      </x:c>
      <x:c r="D30" s="1" t="n">
        <x:v>34448</x:v>
      </x:c>
      <x:c r="E30" s="1" t="n">
        <x:v>33770</x:v>
      </x:c>
      <x:c r="F30" s="1" t="n">
        <x:v>678</x:v>
      </x:c>
      <x:c r="G30" s="1" t="n">
        <x:v>27772</x:v>
      </x:c>
      <x:c r="H30" s="1" t="n">
        <x:v>28204</x:v>
      </x:c>
      <x:c r="I30" s="1" t="n">
        <x:v>5998</x:v>
      </x:c>
    </x:row>
    <x:row r="31" ht="23" customHeight="1">
      <x:c r="A31" s="1" t="n">
        <x:v>2025</x:v>
      </x:c>
      <x:c r="B31" s="1" t="n">
        <x:v>6</x:v>
      </x:c>
      <x:c r="C31" s="1" t="str">
        <x:v>2025-06</x:v>
      </x:c>
      <x:c r="D31" s="1" t="n">
        <x:v>33736</x:v>
      </x:c>
      <x:c r="E31" s="1" t="n">
        <x:v>32903</x:v>
      </x:c>
      <x:c r="F31" s="1" t="n">
        <x:v>833</x:v>
      </x:c>
      <x:c r="G31" s="1" t="n">
        <x:v>25884</x:v>
      </x:c>
      <x:c r="H31" s="1" t="n">
        <x:v>26124</x:v>
      </x:c>
      <x:c r="I31" s="1" t="n">
        <x:v>7019</x:v>
      </x:c>
    </x:row>
    <x:row r="32" ht="23" customHeight="1">
      <x:c r="A32" s="1" t="n">
        <x:v>2025</x:v>
      </x:c>
      <x:c r="B32" s="1" t="n">
        <x:v>7</x:v>
      </x:c>
      <x:c r="C32" s="1" t="str">
        <x:v>2025-07</x:v>
      </x:c>
      <x:c r="D32" s="1" t="n">
        <x:v>36906</x:v>
      </x:c>
      <x:c r="E32" s="1" t="n">
        <x:v>35728</x:v>
      </x:c>
      <x:c r="F32" s="1" t="n">
        <x:v>1178</x:v>
      </x:c>
      <x:c r="G32" s="1" t="n">
        <x:v>25400</x:v>
      </x:c>
      <x:c r="H32" s="1" t="n">
        <x:v>25849</x:v>
      </x:c>
      <x:c r="I32" s="1" t="n">
        <x:v>10328</x:v>
      </x:c>
    </x:row>
    <x:row r="33" ht="23" customHeight="1">
      <x:c r="A33" s="1" t="n">
        <x:v>2025</x:v>
      </x:c>
      <x:c r="B33" s="1" t="n">
        <x:v>8</x:v>
      </x:c>
      <x:c r="C33" s="1" t="str">
        <x:v>2025-08</x:v>
      </x:c>
      <x:c r="D33" s="1" t="n">
        <x:v>34905</x:v>
      </x:c>
      <x:c r="E33" s="1" t="n">
        <x:v>34067</x:v>
      </x:c>
      <x:c r="F33" s="1" t="n">
        <x:v>838</x:v>
      </x:c>
      <x:c r="G33" s="1" t="n">
        <x:v>24850</x:v>
      </x:c>
      <x:c r="H33" s="1" t="n">
        <x:v>25200</x:v>
      </x:c>
      <x:c r="I33" s="1" t="n">
        <x:v>9217</x:v>
      </x:c>
    </x:row>
    <x:row r="34" ht="23" customHeight="1">
      <x:c r="A34" s="1" t="n">
        <x:v>2025</x:v>
      </x:c>
      <x:c r="B34" s="1" t="n">
        <x:v>9</x:v>
      </x:c>
      <x:c r="C34" s="1" t="str">
        <x:v>2025-09</x:v>
      </x:c>
      <x:c r="D34" s="1" t="n">
        <x:v>35726</x:v>
      </x:c>
      <x:c r="E34" s="1" t="n">
        <x:v>34985</x:v>
      </x:c>
      <x:c r="F34" s="1" t="n">
        <x:v>741</x:v>
      </x:c>
      <x:c r="G34" s="1" t="n">
        <x:v>27263</x:v>
      </x:c>
      <x:c r="H34" s="1" t="n">
        <x:v>27701</x:v>
      </x:c>
      <x:c r="I34" s="1" t="n">
        <x:v>7722</x:v>
      </x:c>
    </x:row>
    <x:row r="35" ht="23" customHeight="1">
      <x:c r="A35" s="1" t="n">
        <x:v>2025</x:v>
      </x:c>
      <x:c r="B35" s="1" t="n">
        <x:v>10</x:v>
      </x:c>
      <x:c r="C35" s="1" t="str">
        <x:v>2025-10</x:v>
      </x:c>
      <x:c r="D35" s="1" t="n">
        <x:v>36770</x:v>
      </x:c>
      <x:c r="E35" s="1" t="n">
        <x:v>35968</x:v>
      </x:c>
      <x:c r="F35" s="1" t="n">
        <x:v>802</x:v>
      </x:c>
      <x:c r="G35" s="1" t="n">
        <x:v>26109</x:v>
      </x:c>
      <x:c r="H35" s="1" t="n">
        <x:v>26436</x:v>
      </x:c>
      <x:c r="I35" s="1" t="n">
        <x:v>9859</x:v>
      </x:c>
    </x:row>
    <x:row r="36" ht="23" customHeight="1">
      <x:c r="A36" s="1" t="n">
        <x:v>2025</x:v>
      </x:c>
      <x:c r="B36" s="1" t="n">
        <x:v>11</x:v>
      </x:c>
      <x:c r="C36" s="1" t="str">
        <x:v>2025-11</x:v>
      </x:c>
      <x:c r="D36" s="1" t="n">
        <x:v>35299</x:v>
      </x:c>
      <x:c r="E36" s="1" t="n">
        <x:v>34206</x:v>
      </x:c>
      <x:c r="F36" s="1" t="n">
        <x:v>1093</x:v>
      </x:c>
      <x:c r="G36" s="1" t="n">
        <x:v>22946</x:v>
      </x:c>
      <x:c r="H36" s="1" t="n">
        <x:v>23889</x:v>
      </x:c>
      <x:c r="I36" s="1" t="n">
        <x:v>11260</x:v>
      </x:c>
    </x:row>
    <x:row r="37" ht="23" customHeight="1">
      <x:c r="A37" s="1" t="n">
        <x:v>2025</x:v>
      </x:c>
      <x:c r="B37" s="1" t="n">
        <x:v>12</x:v>
      </x:c>
      <x:c r="C37" s="1" t="str">
        <x:v>2025-12</x:v>
      </x:c>
      <x:c r="D37" s="1" t="n">
        <x:v>36334</x:v>
      </x:c>
      <x:c r="E37" s="1" t="n">
        <x:v>35656</x:v>
      </x:c>
      <x:c r="F37" s="1" t="n">
        <x:v>678</x:v>
      </x:c>
      <x:c r="G37" s="1" t="n">
        <x:v>25839</x:v>
      </x:c>
      <x:c r="H37" s="1" t="n">
        <x:v>26066</x:v>
      </x:c>
      <x:c r="I37" s="1" t="n">
        <x:v>9817</x:v>
      </x:c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</x:row>
    <x:row r="40" ht="23" customHeight="1">
      <x:c r="A40" s="19" t="str">
        <x:v>SQL v_monthly. Route scope only. Source: https://www.bitre.gov.au/resource/aviation/airline-time-performance-monthly-reports-and-time-series-data</x:v>
      </x:c>
      <x:c r="B40" s="19"/>
      <x:c r="C40" s="19"/>
      <x:c r="D40" s="19"/>
      <x:c r="E40" s="19"/>
      <x:c r="F40" s="19"/>
      <x:c r="G40" s="19"/>
      <x:c r="H40" s="19"/>
      <x:c r="I40" s="19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</x:row>
  </x:sheetData>
  <x:mergeCells>
    <x:mergeCell ref="A40:I40"/>
  </x:mergeCells>
  <x:pageMargins left="0.7" right="0.7" top="0.75" bottom="0.75" header="0.3" footer="0.3"/>
  <x:tableParts count="1">
    <x:tablePart xmlns:r="http://schemas.openxmlformats.org/officeDocument/2006/relationships" r:id="R82e8388ebe954e79"/>
  </x:tableParts>
</x:worksheet>
</file>

<file path=xl/worksheets/sheet4.xml><?xml version="1.0" encoding="utf-8"?>
<x:worksheet xmlns:x="http://schemas.openxmlformats.org/spreadsheetml/2006/main">
  <x:sheetPr>
    <x:tabColor rgb="FF007F8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3" customHeight="1">
      <x:c r="A1" s="14" t="str">
        <x:v>Year</x:v>
      </x:c>
      <x:c r="B1" s="14" t="str">
        <x:v>Directional route</x:v>
      </x:c>
      <x:c r="C1" s="14" t="str">
        <x:v>Months reported</x:v>
      </x:c>
      <x:c r="D1" s="14" t="str">
        <x:v>Scheduled</x:v>
      </x:c>
      <x:c r="E1" s="14" t="str">
        <x:v>Flown</x:v>
      </x:c>
      <x:c r="F1" s="14" t="str">
        <x:v>Cancelled</x:v>
      </x:c>
      <x:c r="G1" s="14" t="str">
        <x:v>On-time arrivals</x:v>
      </x:c>
      <x:c r="H1" s="14" t="str">
        <x:v>Delayed arrivals</x:v>
      </x:c>
      <x:c r="I1" s="1"/>
    </x:row>
    <x:row r="2" ht="23" customHeight="1">
      <x:c r="A2" s="1" t="n">
        <x:v>2023</x:v>
      </x:c>
      <x:c r="B2" s="1" t="str">
        <x:v>Adelaide-Alice Springs</x:v>
      </x:c>
      <x:c r="C2" s="1" t="n">
        <x:v>12</x:v>
      </x:c>
      <x:c r="D2" s="1" t="n">
        <x:v>725</x:v>
      </x:c>
      <x:c r="E2" s="1" t="n">
        <x:v>722</x:v>
      </x:c>
      <x:c r="F2" s="1" t="n">
        <x:v>3</x:v>
      </x:c>
      <x:c r="G2" s="1" t="n">
        <x:v>543</x:v>
      </x:c>
      <x:c r="H2" s="1" t="n">
        <x:v>179</x:v>
      </x:c>
      <x:c r="I2" s="1"/>
    </x:row>
    <x:row r="3" ht="23" customHeight="1">
      <x:c r="A3" s="1" t="n">
        <x:v>2023</x:v>
      </x:c>
      <x:c r="B3" s="1" t="str">
        <x:v>Adelaide-Brisbane</x:v>
      </x:c>
      <x:c r="C3" s="1" t="n">
        <x:v>12</x:v>
      </x:c>
      <x:c r="D3" s="1" t="n">
        <x:v>4125</x:v>
      </x:c>
      <x:c r="E3" s="1" t="n">
        <x:v>4002</x:v>
      </x:c>
      <x:c r="F3" s="1" t="n">
        <x:v>123</x:v>
      </x:c>
      <x:c r="G3" s="1" t="n">
        <x:v>2843</x:v>
      </x:c>
      <x:c r="H3" s="1" t="n">
        <x:v>1159</x:v>
      </x:c>
      <x:c r="I3" s="1"/>
    </x:row>
    <x:row r="4" ht="23" customHeight="1">
      <x:c r="A4" s="1" t="n">
        <x:v>2023</x:v>
      </x:c>
      <x:c r="B4" s="1" t="str">
        <x:v>Adelaide-Cairns</x:v>
      </x:c>
      <x:c r="C4" s="1" t="n">
        <x:v>3</x:v>
      </x:c>
      <x:c r="D4" s="1" t="n">
        <x:v>148</x:v>
      </x:c>
      <x:c r="E4" s="1" t="n">
        <x:v>145</x:v>
      </x:c>
      <x:c r="F4" s="1" t="n">
        <x:v>3</x:v>
      </x:c>
      <x:c r="G4" s="1" t="n">
        <x:v>120</x:v>
      </x:c>
      <x:c r="H4" s="1" t="n">
        <x:v>25</x:v>
      </x:c>
      <x:c r="I4" s="1"/>
    </x:row>
    <x:row r="5" ht="23" customHeight="1">
      <x:c r="A5" s="1" t="n">
        <x:v>2023</x:v>
      </x:c>
      <x:c r="B5" s="1" t="str">
        <x:v>Adelaide-Canberra</x:v>
      </x:c>
      <x:c r="C5" s="1" t="n">
        <x:v>12</x:v>
      </x:c>
      <x:c r="D5" s="1" t="n">
        <x:v>1447</x:v>
      </x:c>
      <x:c r="E5" s="1" t="n">
        <x:v>1425</x:v>
      </x:c>
      <x:c r="F5" s="1" t="n">
        <x:v>22</x:v>
      </x:c>
      <x:c r="G5" s="1" t="n">
        <x:v>1195</x:v>
      </x:c>
      <x:c r="H5" s="1" t="n">
        <x:v>230</x:v>
      </x:c>
      <x:c r="I5" s="1"/>
    </x:row>
    <x:row r="6" ht="23" customHeight="1">
      <x:c r="A6" s="1" t="n">
        <x:v>2023</x:v>
      </x:c>
      <x:c r="B6" s="1" t="str">
        <x:v>Adelaide-Darwin</x:v>
      </x:c>
      <x:c r="C6" s="1" t="n">
        <x:v>6</x:v>
      </x:c>
      <x:c r="D6" s="1" t="n">
        <x:v>594</x:v>
      </x:c>
      <x:c r="E6" s="1" t="n">
        <x:v>587</x:v>
      </x:c>
      <x:c r="F6" s="1" t="n">
        <x:v>7</x:v>
      </x:c>
      <x:c r="G6" s="1" t="n">
        <x:v>405</x:v>
      </x:c>
      <x:c r="H6" s="1" t="n">
        <x:v>182</x:v>
      </x:c>
      <x:c r="I6" s="1"/>
    </x:row>
    <x:row r="7" ht="23" customHeight="1">
      <x:c r="A7" s="1" t="n">
        <x:v>2023</x:v>
      </x:c>
      <x:c r="B7" s="1" t="str">
        <x:v>Adelaide-Gold Coast</x:v>
      </x:c>
      <x:c r="C7" s="1" t="n">
        <x:v>12</x:v>
      </x:c>
      <x:c r="D7" s="1" t="n">
        <x:v>802</x:v>
      </x:c>
      <x:c r="E7" s="1" t="n">
        <x:v>786</x:v>
      </x:c>
      <x:c r="F7" s="1" t="n">
        <x:v>16</x:v>
      </x:c>
      <x:c r="G7" s="1" t="n">
        <x:v>652</x:v>
      </x:c>
      <x:c r="H7" s="1" t="n">
        <x:v>134</x:v>
      </x:c>
      <x:c r="I7" s="1"/>
    </x:row>
    <x:row r="8" ht="23" customHeight="1">
      <x:c r="A8" s="1" t="n">
        <x:v>2023</x:v>
      </x:c>
      <x:c r="B8" s="1" t="str">
        <x:v>Adelaide-Melbourne</x:v>
      </x:c>
      <x:c r="C8" s="1" t="n">
        <x:v>12</x:v>
      </x:c>
      <x:c r="D8" s="1" t="n">
        <x:v>8206</x:v>
      </x:c>
      <x:c r="E8" s="1" t="n">
        <x:v>8002</x:v>
      </x:c>
      <x:c r="F8" s="1" t="n">
        <x:v>204</x:v>
      </x:c>
      <x:c r="G8" s="1" t="n">
        <x:v>5504</x:v>
      </x:c>
      <x:c r="H8" s="1" t="n">
        <x:v>2498</x:v>
      </x:c>
      <x:c r="I8" s="1"/>
    </x:row>
    <x:row r="9" ht="23" customHeight="1">
      <x:c r="A9" s="1" t="n">
        <x:v>2023</x:v>
      </x:c>
      <x:c r="B9" s="1" t="str">
        <x:v>Adelaide-Perth</x:v>
      </x:c>
      <x:c r="C9" s="1" t="n">
        <x:v>12</x:v>
      </x:c>
      <x:c r="D9" s="1" t="n">
        <x:v>2257</x:v>
      </x:c>
      <x:c r="E9" s="1" t="n">
        <x:v>2179</x:v>
      </x:c>
      <x:c r="F9" s="1" t="n">
        <x:v>78</x:v>
      </x:c>
      <x:c r="G9" s="1" t="n">
        <x:v>1566</x:v>
      </x:c>
      <x:c r="H9" s="1" t="n">
        <x:v>613</x:v>
      </x:c>
      <x:c r="I9" s="1"/>
    </x:row>
    <x:row r="10" ht="23" customHeight="1">
      <x:c r="A10" s="1" t="n">
        <x:v>2023</x:v>
      </x:c>
      <x:c r="B10" s="1" t="str">
        <x:v>Adelaide-Port Lincoln</x:v>
      </x:c>
      <x:c r="C10" s="1" t="n">
        <x:v>12</x:v>
      </x:c>
      <x:c r="D10" s="1" t="n">
        <x:v>3384</x:v>
      </x:c>
      <x:c r="E10" s="1" t="n">
        <x:v>3279</x:v>
      </x:c>
      <x:c r="F10" s="1" t="n">
        <x:v>105</x:v>
      </x:c>
      <x:c r="G10" s="1" t="n">
        <x:v>2700</x:v>
      </x:c>
      <x:c r="H10" s="1" t="n">
        <x:v>579</x:v>
      </x:c>
      <x:c r="I10" s="1"/>
    </x:row>
    <x:row r="11" ht="23" customHeight="1">
      <x:c r="A11" s="1" t="n">
        <x:v>2023</x:v>
      </x:c>
      <x:c r="B11" s="1" t="str">
        <x:v>Adelaide-Sydney</x:v>
      </x:c>
      <x:c r="C11" s="1" t="n">
        <x:v>12</x:v>
      </x:c>
      <x:c r="D11" s="1" t="n">
        <x:v>6277</x:v>
      </x:c>
      <x:c r="E11" s="1" t="n">
        <x:v>5940</x:v>
      </x:c>
      <x:c r="F11" s="1" t="n">
        <x:v>337</x:v>
      </x:c>
      <x:c r="G11" s="1" t="n">
        <x:v>3977</x:v>
      </x:c>
      <x:c r="H11" s="1" t="n">
        <x:v>1963</x:v>
      </x:c>
      <x:c r="I11" s="1"/>
    </x:row>
    <x:row r="12" ht="23" customHeight="1">
      <x:c r="A12" s="1" t="n">
        <x:v>2023</x:v>
      </x:c>
      <x:c r="B12" s="1" t="str">
        <x:v>Albury-Sydney</x:v>
      </x:c>
      <x:c r="C12" s="1" t="n">
        <x:v>12</x:v>
      </x:c>
      <x:c r="D12" s="1" t="n">
        <x:v>2441</x:v>
      </x:c>
      <x:c r="E12" s="1" t="n">
        <x:v>2391</x:v>
      </x:c>
      <x:c r="F12" s="1" t="n">
        <x:v>50</x:v>
      </x:c>
      <x:c r="G12" s="1" t="n">
        <x:v>1795</x:v>
      </x:c>
      <x:c r="H12" s="1" t="n">
        <x:v>596</x:v>
      </x:c>
      <x:c r="I12" s="1"/>
    </x:row>
    <x:row r="13" ht="23" customHeight="1">
      <x:c r="A13" s="1" t="n">
        <x:v>2023</x:v>
      </x:c>
      <x:c r="B13" s="1" t="str">
        <x:v>Alice Springs-Adelaide</x:v>
      </x:c>
      <x:c r="C13" s="1" t="n">
        <x:v>12</x:v>
      </x:c>
      <x:c r="D13" s="1" t="n">
        <x:v>726</x:v>
      </x:c>
      <x:c r="E13" s="1" t="n">
        <x:v>721</x:v>
      </x:c>
      <x:c r="F13" s="1" t="n">
        <x:v>5</x:v>
      </x:c>
      <x:c r="G13" s="1" t="n">
        <x:v>469</x:v>
      </x:c>
      <x:c r="H13" s="1" t="n">
        <x:v>252</x:v>
      </x:c>
      <x:c r="I13" s="1"/>
    </x:row>
    <x:row r="14" ht="23" customHeight="1">
      <x:c r="A14" s="1" t="n">
        <x:v>2023</x:v>
      </x:c>
      <x:c r="B14" s="1" t="str">
        <x:v>Armidale-Sydney</x:v>
      </x:c>
      <x:c r="C14" s="1" t="n">
        <x:v>10</x:v>
      </x:c>
      <x:c r="D14" s="1" t="n">
        <x:v>1604</x:v>
      </x:c>
      <x:c r="E14" s="1" t="n">
        <x:v>1501</x:v>
      </x:c>
      <x:c r="F14" s="1" t="n">
        <x:v>103</x:v>
      </x:c>
      <x:c r="G14" s="1" t="n">
        <x:v>1155</x:v>
      </x:c>
      <x:c r="H14" s="1" t="n">
        <x:v>346</x:v>
      </x:c>
      <x:c r="I14" s="1"/>
    </x:row>
    <x:row r="15" ht="23" customHeight="1">
      <x:c r="A15" s="1" t="n">
        <x:v>2023</x:v>
      </x:c>
      <x:c r="B15" s="1" t="str">
        <x:v>Ballina-Sydney</x:v>
      </x:c>
      <x:c r="C15" s="1" t="n">
        <x:v>12</x:v>
      </x:c>
      <x:c r="D15" s="1" t="n">
        <x:v>2487</x:v>
      </x:c>
      <x:c r="E15" s="1" t="n">
        <x:v>2422</x:v>
      </x:c>
      <x:c r="F15" s="1" t="n">
        <x:v>65</x:v>
      </x:c>
      <x:c r="G15" s="1" t="n">
        <x:v>1642</x:v>
      </x:c>
      <x:c r="H15" s="1" t="n">
        <x:v>780</x:v>
      </x:c>
      <x:c r="I15" s="1"/>
    </x:row>
    <x:row r="16" ht="23" customHeight="1">
      <x:c r="A16" s="1" t="n">
        <x:v>2023</x:v>
      </x:c>
      <x:c r="B16" s="1" t="str">
        <x:v>Brisbane-Adelaide</x:v>
      </x:c>
      <x:c r="C16" s="1" t="n">
        <x:v>12</x:v>
      </x:c>
      <x:c r="D16" s="1" t="n">
        <x:v>4129</x:v>
      </x:c>
      <x:c r="E16" s="1" t="n">
        <x:v>3999</x:v>
      </x:c>
      <x:c r="F16" s="1" t="n">
        <x:v>130</x:v>
      </x:c>
      <x:c r="G16" s="1" t="n">
        <x:v>2619</x:v>
      </x:c>
      <x:c r="H16" s="1" t="n">
        <x:v>1380</x:v>
      </x:c>
      <x:c r="I16" s="1"/>
    </x:row>
    <x:row r="17" ht="23" customHeight="1">
      <x:c r="A17" s="1" t="n">
        <x:v>2023</x:v>
      </x:c>
      <x:c r="B17" s="1" t="str">
        <x:v>Brisbane-Cairns</x:v>
      </x:c>
      <x:c r="C17" s="1" t="n">
        <x:v>12</x:v>
      </x:c>
      <x:c r="D17" s="1" t="n">
        <x:v>4490</x:v>
      </x:c>
      <x:c r="E17" s="1" t="n">
        <x:v>4410</x:v>
      </x:c>
      <x:c r="F17" s="1" t="n">
        <x:v>80</x:v>
      </x:c>
      <x:c r="G17" s="1" t="n">
        <x:v>3064</x:v>
      </x:c>
      <x:c r="H17" s="1" t="n">
        <x:v>1346</x:v>
      </x:c>
      <x:c r="I17" s="1"/>
    </x:row>
    <x:row r="18" ht="23" customHeight="1">
      <x:c r="A18" s="1" t="n">
        <x:v>2023</x:v>
      </x:c>
      <x:c r="B18" s="1" t="str">
        <x:v>Brisbane-Canberra</x:v>
      </x:c>
      <x:c r="C18" s="1" t="n">
        <x:v>12</x:v>
      </x:c>
      <x:c r="D18" s="1" t="n">
        <x:v>3549</x:v>
      </x:c>
      <x:c r="E18" s="1" t="n">
        <x:v>3485</x:v>
      </x:c>
      <x:c r="F18" s="1" t="n">
        <x:v>64</x:v>
      </x:c>
      <x:c r="G18" s="1" t="n">
        <x:v>2548</x:v>
      </x:c>
      <x:c r="H18" s="1" t="n">
        <x:v>937</x:v>
      </x:c>
      <x:c r="I18" s="1"/>
    </x:row>
    <x:row r="19" ht="23" customHeight="1">
      <x:c r="A19" s="1" t="n">
        <x:v>2023</x:v>
      </x:c>
      <x:c r="B19" s="1" t="str">
        <x:v>Brisbane-Darwin</x:v>
      </x:c>
      <x:c r="C19" s="1" t="n">
        <x:v>12</x:v>
      </x:c>
      <x:c r="D19" s="1" t="n">
        <x:v>1095</x:v>
      </x:c>
      <x:c r="E19" s="1" t="n">
        <x:v>1080</x:v>
      </x:c>
      <x:c r="F19" s="1" t="n">
        <x:v>15</x:v>
      </x:c>
      <x:c r="G19" s="1" t="n">
        <x:v>795</x:v>
      </x:c>
      <x:c r="H19" s="1" t="n">
        <x:v>285</x:v>
      </x:c>
      <x:c r="I19" s="1"/>
    </x:row>
    <x:row r="20" ht="23" customHeight="1">
      <x:c r="A20" s="1" t="n">
        <x:v>2023</x:v>
      </x:c>
      <x:c r="B20" s="1" t="str">
        <x:v>Brisbane-Emerald</x:v>
      </x:c>
      <x:c r="C20" s="1" t="n">
        <x:v>12</x:v>
      </x:c>
      <x:c r="D20" s="1" t="n">
        <x:v>1736</x:v>
      </x:c>
      <x:c r="E20" s="1" t="n">
        <x:v>1707</x:v>
      </x:c>
      <x:c r="F20" s="1" t="n">
        <x:v>29</x:v>
      </x:c>
      <x:c r="G20" s="1" t="n">
        <x:v>1389</x:v>
      </x:c>
      <x:c r="H20" s="1" t="n">
        <x:v>318</x:v>
      </x:c>
      <x:c r="I20" s="1"/>
    </x:row>
    <x:row r="21" ht="23" customHeight="1">
      <x:c r="A21" s="1" t="n">
        <x:v>2023</x:v>
      </x:c>
      <x:c r="B21" s="1" t="str">
        <x:v>Brisbane-Gladstone</x:v>
      </x:c>
      <x:c r="C21" s="1" t="n">
        <x:v>12</x:v>
      </x:c>
      <x:c r="D21" s="1" t="n">
        <x:v>2272</x:v>
      </x:c>
      <x:c r="E21" s="1" t="n">
        <x:v>2144</x:v>
      </x:c>
      <x:c r="F21" s="1" t="n">
        <x:v>128</x:v>
      </x:c>
      <x:c r="G21" s="1" t="n">
        <x:v>1635</x:v>
      </x:c>
      <x:c r="H21" s="1" t="n">
        <x:v>509</x:v>
      </x:c>
      <x:c r="I21" s="1"/>
    </x:row>
    <x:row r="22" ht="23" customHeight="1">
      <x:c r="A22" s="1" t="n">
        <x:v>2023</x:v>
      </x:c>
      <x:c r="B22" s="1" t="str">
        <x:v>Brisbane-Hamilton Island</x:v>
      </x:c>
      <x:c r="C22" s="1" t="n">
        <x:v>12</x:v>
      </x:c>
      <x:c r="D22" s="1" t="n">
        <x:v>702</x:v>
      </x:c>
      <x:c r="E22" s="1" t="n">
        <x:v>699</x:v>
      </x:c>
      <x:c r="F22" s="1" t="n">
        <x:v>3</x:v>
      </x:c>
      <x:c r="G22" s="1" t="n">
        <x:v>540</x:v>
      </x:c>
      <x:c r="H22" s="1" t="n">
        <x:v>159</x:v>
      </x:c>
      <x:c r="I22" s="1"/>
    </x:row>
    <x:row r="23" ht="23" customHeight="1">
      <x:c r="A23" s="1" t="n">
        <x:v>2023</x:v>
      </x:c>
      <x:c r="B23" s="1" t="str">
        <x:v>Brisbane-Hobart</x:v>
      </x:c>
      <x:c r="C23" s="1" t="n">
        <x:v>12</x:v>
      </x:c>
      <x:c r="D23" s="1" t="n">
        <x:v>1160</x:v>
      </x:c>
      <x:c r="E23" s="1" t="n">
        <x:v>1140</x:v>
      </x:c>
      <x:c r="F23" s="1" t="n">
        <x:v>20</x:v>
      </x:c>
      <x:c r="G23" s="1" t="n">
        <x:v>858</x:v>
      </x:c>
      <x:c r="H23" s="1" t="n">
        <x:v>282</x:v>
      </x:c>
      <x:c r="I23" s="1"/>
    </x:row>
    <x:row r="24" ht="23" customHeight="1">
      <x:c r="A24" s="1" t="n">
        <x:v>2023</x:v>
      </x:c>
      <x:c r="B24" s="1" t="str">
        <x:v>Brisbane-Launceston</x:v>
      </x:c>
      <x:c r="C24" s="1" t="n">
        <x:v>12</x:v>
      </x:c>
      <x:c r="D24" s="1" t="n">
        <x:v>539</x:v>
      </x:c>
      <x:c r="E24" s="1" t="n">
        <x:v>530</x:v>
      </x:c>
      <x:c r="F24" s="1" t="n">
        <x:v>9</x:v>
      </x:c>
      <x:c r="G24" s="1" t="n">
        <x:v>325</x:v>
      </x:c>
      <x:c r="H24" s="1" t="n">
        <x:v>205</x:v>
      </x:c>
      <x:c r="I24" s="1"/>
    </x:row>
    <x:row r="25" ht="23" customHeight="1">
      <x:c r="A25" s="1" t="n">
        <x:v>2023</x:v>
      </x:c>
      <x:c r="B25" s="1" t="str">
        <x:v>Brisbane-Mackay</x:v>
      </x:c>
      <x:c r="C25" s="1" t="n">
        <x:v>12</x:v>
      </x:c>
      <x:c r="D25" s="1" t="n">
        <x:v>3438</x:v>
      </x:c>
      <x:c r="E25" s="1" t="n">
        <x:v>3408</x:v>
      </x:c>
      <x:c r="F25" s="1" t="n">
        <x:v>30</x:v>
      </x:c>
      <x:c r="G25" s="1" t="n">
        <x:v>2188</x:v>
      </x:c>
      <x:c r="H25" s="1" t="n">
        <x:v>1220</x:v>
      </x:c>
      <x:c r="I25" s="1"/>
    </x:row>
    <x:row r="26" ht="23" customHeight="1">
      <x:c r="A26" s="1" t="n">
        <x:v>2023</x:v>
      </x:c>
      <x:c r="B26" s="1" t="str">
        <x:v>Brisbane-Melbourne</x:v>
      </x:c>
      <x:c r="C26" s="1" t="n">
        <x:v>12</x:v>
      </x:c>
      <x:c r="D26" s="1" t="n">
        <x:v>11896</x:v>
      </x:c>
      <x:c r="E26" s="1" t="n">
        <x:v>11339</x:v>
      </x:c>
      <x:c r="F26" s="1" t="n">
        <x:v>557</x:v>
      </x:c>
      <x:c r="G26" s="1" t="n">
        <x:v>7622</x:v>
      </x:c>
      <x:c r="H26" s="1" t="n">
        <x:v>3717</x:v>
      </x:c>
      <x:c r="I26" s="1"/>
    </x:row>
    <x:row r="27" ht="23" customHeight="1">
      <x:c r="A27" s="1" t="n">
        <x:v>2023</x:v>
      </x:c>
      <x:c r="B27" s="1" t="str">
        <x:v>Brisbane-Mount Isa</x:v>
      </x:c>
      <x:c r="C27" s="1" t="n">
        <x:v>12</x:v>
      </x:c>
      <x:c r="D27" s="1" t="n">
        <x:v>760</x:v>
      </x:c>
      <x:c r="E27" s="1" t="n">
        <x:v>758</x:v>
      </x:c>
      <x:c r="F27" s="1" t="n">
        <x:v>2</x:v>
      </x:c>
      <x:c r="G27" s="1" t="n">
        <x:v>651</x:v>
      </x:c>
      <x:c r="H27" s="1" t="n">
        <x:v>107</x:v>
      </x:c>
      <x:c r="I27" s="1"/>
    </x:row>
    <x:row r="28" ht="23" customHeight="1">
      <x:c r="A28" s="1" t="n">
        <x:v>2023</x:v>
      </x:c>
      <x:c r="B28" s="1" t="str">
        <x:v>Brisbane-Newcastle</x:v>
      </x:c>
      <x:c r="C28" s="1" t="n">
        <x:v>12</x:v>
      </x:c>
      <x:c r="D28" s="1" t="n">
        <x:v>3201</x:v>
      </x:c>
      <x:c r="E28" s="1" t="n">
        <x:v>3063</x:v>
      </x:c>
      <x:c r="F28" s="1" t="n">
        <x:v>138</x:v>
      </x:c>
      <x:c r="G28" s="1" t="n">
        <x:v>2239</x:v>
      </x:c>
      <x:c r="H28" s="1" t="n">
        <x:v>824</x:v>
      </x:c>
      <x:c r="I28" s="1"/>
    </x:row>
    <x:row r="29" ht="23" customHeight="1">
      <x:c r="A29" s="1" t="n">
        <x:v>2023</x:v>
      </x:c>
      <x:c r="B29" s="1" t="str">
        <x:v>Brisbane-Perth</x:v>
      </x:c>
      <x:c r="C29" s="1" t="n">
        <x:v>12</x:v>
      </x:c>
      <x:c r="D29" s="1" t="n">
        <x:v>3541</x:v>
      </x:c>
      <x:c r="E29" s="1" t="n">
        <x:v>3458</x:v>
      </x:c>
      <x:c r="F29" s="1" t="n">
        <x:v>83</x:v>
      </x:c>
      <x:c r="G29" s="1" t="n">
        <x:v>2538</x:v>
      </x:c>
      <x:c r="H29" s="1" t="n">
        <x:v>920</x:v>
      </x:c>
      <x:c r="I29" s="1"/>
    </x:row>
    <x:row r="30" ht="23" customHeight="1">
      <x:c r="A30" s="1" t="n">
        <x:v>2023</x:v>
      </x:c>
      <x:c r="B30" s="1" t="str">
        <x:v>Brisbane-Proserpine</x:v>
      </x:c>
      <x:c r="C30" s="1" t="n">
        <x:v>12</x:v>
      </x:c>
      <x:c r="D30" s="1" t="n">
        <x:v>1167</x:v>
      </x:c>
      <x:c r="E30" s="1" t="n">
        <x:v>1149</x:v>
      </x:c>
      <x:c r="F30" s="1" t="n">
        <x:v>18</x:v>
      </x:c>
      <x:c r="G30" s="1" t="n">
        <x:v>893</x:v>
      </x:c>
      <x:c r="H30" s="1" t="n">
        <x:v>256</x:v>
      </x:c>
      <x:c r="I30" s="1"/>
    </x:row>
    <x:row r="31" ht="23" customHeight="1">
      <x:c r="A31" s="1" t="n">
        <x:v>2023</x:v>
      </x:c>
      <x:c r="B31" s="1" t="str">
        <x:v>Brisbane-Rockhampton</x:v>
      </x:c>
      <x:c r="C31" s="1" t="n">
        <x:v>12</x:v>
      </x:c>
      <x:c r="D31" s="1" t="n">
        <x:v>3792</x:v>
      </x:c>
      <x:c r="E31" s="1" t="n">
        <x:v>3695</x:v>
      </x:c>
      <x:c r="F31" s="1" t="n">
        <x:v>97</x:v>
      </x:c>
      <x:c r="G31" s="1" t="n">
        <x:v>2544</x:v>
      </x:c>
      <x:c r="H31" s="1" t="n">
        <x:v>1151</x:v>
      </x:c>
      <x:c r="I31" s="1"/>
    </x:row>
    <x:row r="32" ht="23" customHeight="1">
      <x:c r="A32" s="1" t="n">
        <x:v>2023</x:v>
      </x:c>
      <x:c r="B32" s="1" t="str">
        <x:v>Brisbane-Sydney</x:v>
      </x:c>
      <x:c r="C32" s="1" t="n">
        <x:v>12</x:v>
      </x:c>
      <x:c r="D32" s="1" t="n">
        <x:v>15782</x:v>
      </x:c>
      <x:c r="E32" s="1" t="n">
        <x:v>14864</x:v>
      </x:c>
      <x:c r="F32" s="1" t="n">
        <x:v>918</x:v>
      </x:c>
      <x:c r="G32" s="1" t="n">
        <x:v>10611</x:v>
      </x:c>
      <x:c r="H32" s="1" t="n">
        <x:v>4253</x:v>
      </x:c>
      <x:c r="I32" s="1"/>
    </x:row>
    <x:row r="33" ht="23" customHeight="1">
      <x:c r="A33" s="1" t="n">
        <x:v>2023</x:v>
      </x:c>
      <x:c r="B33" s="1" t="str">
        <x:v>Brisbane-Townsville</x:v>
      </x:c>
      <x:c r="C33" s="1" t="n">
        <x:v>12</x:v>
      </x:c>
      <x:c r="D33" s="1" t="n">
        <x:v>3836</x:v>
      </x:c>
      <x:c r="E33" s="1" t="n">
        <x:v>3790</x:v>
      </x:c>
      <x:c r="F33" s="1" t="n">
        <x:v>46</x:v>
      </x:c>
      <x:c r="G33" s="1" t="n">
        <x:v>2534</x:v>
      </x:c>
      <x:c r="H33" s="1" t="n">
        <x:v>1256</x:v>
      </x:c>
      <x:c r="I33" s="1"/>
    </x:row>
    <x:row r="34" ht="23" customHeight="1">
      <x:c r="A34" s="1" t="n">
        <x:v>2023</x:v>
      </x:c>
      <x:c r="B34" s="1" t="str">
        <x:v>Broome-Perth</x:v>
      </x:c>
      <x:c r="C34" s="1" t="n">
        <x:v>12</x:v>
      </x:c>
      <x:c r="D34" s="1" t="n">
        <x:v>1574</x:v>
      </x:c>
      <x:c r="E34" s="1" t="n">
        <x:v>1528</x:v>
      </x:c>
      <x:c r="F34" s="1" t="n">
        <x:v>46</x:v>
      </x:c>
      <x:c r="G34" s="1" t="n">
        <x:v>1017</x:v>
      </x:c>
      <x:c r="H34" s="1" t="n">
        <x:v>511</x:v>
      </x:c>
      <x:c r="I34" s="1"/>
    </x:row>
    <x:row r="35" ht="23" customHeight="1">
      <x:c r="A35" s="1" t="n">
        <x:v>2023</x:v>
      </x:c>
      <x:c r="B35" s="1" t="str">
        <x:v>Cairns-Adelaide</x:v>
      </x:c>
      <x:c r="C35" s="1" t="n">
        <x:v>3</x:v>
      </x:c>
      <x:c r="D35" s="1" t="n">
        <x:v>148</x:v>
      </x:c>
      <x:c r="E35" s="1" t="n">
        <x:v>145</x:v>
      </x:c>
      <x:c r="F35" s="1" t="n">
        <x:v>3</x:v>
      </x:c>
      <x:c r="G35" s="1" t="n">
        <x:v>91</x:v>
      </x:c>
      <x:c r="H35" s="1" t="n">
        <x:v>54</x:v>
      </x:c>
      <x:c r="I35" s="1"/>
    </x:row>
    <x:row r="36" ht="23" customHeight="1">
      <x:c r="A36" s="1" t="n">
        <x:v>2023</x:v>
      </x:c>
      <x:c r="B36" s="1" t="str">
        <x:v>Cairns-Brisbane</x:v>
      </x:c>
      <x:c r="C36" s="1" t="n">
        <x:v>12</x:v>
      </x:c>
      <x:c r="D36" s="1" t="n">
        <x:v>4491</x:v>
      </x:c>
      <x:c r="E36" s="1" t="n">
        <x:v>4409</x:v>
      </x:c>
      <x:c r="F36" s="1" t="n">
        <x:v>82</x:v>
      </x:c>
      <x:c r="G36" s="1" t="n">
        <x:v>3153</x:v>
      </x:c>
      <x:c r="H36" s="1" t="n">
        <x:v>1256</x:v>
      </x:c>
      <x:c r="I36" s="1"/>
    </x:row>
    <x:row r="37" ht="23" customHeight="1">
      <x:c r="A37" s="1" t="n">
        <x:v>2023</x:v>
      </x:c>
      <x:c r="B37" s="1" t="str">
        <x:v>Cairns-Melbourne</x:v>
      </x:c>
      <x:c r="C37" s="1" t="n">
        <x:v>12</x:v>
      </x:c>
      <x:c r="D37" s="1" t="n">
        <x:v>2418</x:v>
      </x:c>
      <x:c r="E37" s="1" t="n">
        <x:v>2325</x:v>
      </x:c>
      <x:c r="F37" s="1" t="n">
        <x:v>93</x:v>
      </x:c>
      <x:c r="G37" s="1" t="n">
        <x:v>1430</x:v>
      </x:c>
      <x:c r="H37" s="1" t="n">
        <x:v>895</x:v>
      </x:c>
      <x:c r="I37" s="1"/>
    </x:row>
    <x:row r="38" ht="23" customHeight="1">
      <x:c r="A38" s="1" t="n">
        <x:v>2023</x:v>
      </x:c>
      <x:c r="B38" s="1" t="str">
        <x:v>Cairns-Sydney</x:v>
      </x:c>
      <x:c r="C38" s="1" t="n">
        <x:v>12</x:v>
      </x:c>
      <x:c r="D38" s="1" t="n">
        <x:v>2687</x:v>
      </x:c>
      <x:c r="E38" s="1" t="n">
        <x:v>2575</x:v>
      </x:c>
      <x:c r="F38" s="1" t="n">
        <x:v>112</x:v>
      </x:c>
      <x:c r="G38" s="1" t="n">
        <x:v>1737</x:v>
      </x:c>
      <x:c r="H38" s="1" t="n">
        <x:v>838</x:v>
      </x:c>
      <x:c r="I38" s="1"/>
    </x:row>
    <x:row r="39" ht="23" customHeight="1">
      <x:c r="A39" s="1" t="n">
        <x:v>2023</x:v>
      </x:c>
      <x:c r="B39" s="1" t="str">
        <x:v>Cairns-Townsville</x:v>
      </x:c>
      <x:c r="C39" s="1" t="n">
        <x:v>12</x:v>
      </x:c>
      <x:c r="D39" s="1" t="n">
        <x:v>1935</x:v>
      </x:c>
      <x:c r="E39" s="1" t="n">
        <x:v>1835</x:v>
      </x:c>
      <x:c r="F39" s="1" t="n">
        <x:v>100</x:v>
      </x:c>
      <x:c r="G39" s="1" t="n">
        <x:v>1605</x:v>
      </x:c>
      <x:c r="H39" s="1" t="n">
        <x:v>230</x:v>
      </x:c>
      <x:c r="I39" s="1"/>
    </x:row>
    <x:row r="40" ht="23" customHeight="1">
      <x:c r="A40" s="1" t="n">
        <x:v>2023</x:v>
      </x:c>
      <x:c r="B40" s="1" t="str">
        <x:v>Canberra-Adelaide</x:v>
      </x:c>
      <x:c r="C40" s="1" t="n">
        <x:v>12</x:v>
      </x:c>
      <x:c r="D40" s="1" t="n">
        <x:v>1447</x:v>
      </x:c>
      <x:c r="E40" s="1" t="n">
        <x:v>1423</x:v>
      </x:c>
      <x:c r="F40" s="1" t="n">
        <x:v>24</x:v>
      </x:c>
      <x:c r="G40" s="1" t="n">
        <x:v>1096</x:v>
      </x:c>
      <x:c r="H40" s="1" t="n">
        <x:v>327</x:v>
      </x:c>
      <x:c r="I40" s="1"/>
    </x:row>
    <x:row r="41" ht="23" customHeight="1">
      <x:c r="A41" s="1" t="n">
        <x:v>2023</x:v>
      </x:c>
      <x:c r="B41" s="1" t="str">
        <x:v>Canberra-Brisbane</x:v>
      </x:c>
      <x:c r="C41" s="1" t="n">
        <x:v>12</x:v>
      </x:c>
      <x:c r="D41" s="1" t="n">
        <x:v>3552</x:v>
      </x:c>
      <x:c r="E41" s="1" t="n">
        <x:v>3482</x:v>
      </x:c>
      <x:c r="F41" s="1" t="n">
        <x:v>70</x:v>
      </x:c>
      <x:c r="G41" s="1" t="n">
        <x:v>2659</x:v>
      </x:c>
      <x:c r="H41" s="1" t="n">
        <x:v>823</x:v>
      </x:c>
      <x:c r="I41" s="1"/>
    </x:row>
    <x:row r="42" ht="23" customHeight="1">
      <x:c r="A42" s="1" t="n">
        <x:v>2023</x:v>
      </x:c>
      <x:c r="B42" s="1" t="str">
        <x:v>Canberra-Gold Coast</x:v>
      </x:c>
      <x:c r="C42" s="1" t="n">
        <x:v>12</x:v>
      </x:c>
      <x:c r="D42" s="1" t="n">
        <x:v>600</x:v>
      </x:c>
      <x:c r="E42" s="1" t="n">
        <x:v>597</x:v>
      </x:c>
      <x:c r="F42" s="1" t="n">
        <x:v>3</x:v>
      </x:c>
      <x:c r="G42" s="1" t="n">
        <x:v>410</x:v>
      </x:c>
      <x:c r="H42" s="1" t="n">
        <x:v>187</x:v>
      </x:c>
      <x:c r="I42" s="1"/>
    </x:row>
    <x:row r="43" ht="23" customHeight="1">
      <x:c r="A43" s="1" t="n">
        <x:v>2023</x:v>
      </x:c>
      <x:c r="B43" s="1" t="str">
        <x:v>Canberra-Melbourne</x:v>
      </x:c>
      <x:c r="C43" s="1" t="n">
        <x:v>12</x:v>
      </x:c>
      <x:c r="D43" s="1" t="n">
        <x:v>5223</x:v>
      </x:c>
      <x:c r="E43" s="1" t="n">
        <x:v>5040</x:v>
      </x:c>
      <x:c r="F43" s="1" t="n">
        <x:v>183</x:v>
      </x:c>
      <x:c r="G43" s="1" t="n">
        <x:v>3333</x:v>
      </x:c>
      <x:c r="H43" s="1" t="n">
        <x:v>1707</x:v>
      </x:c>
      <x:c r="I43" s="1"/>
    </x:row>
    <x:row r="44" ht="23" customHeight="1">
      <x:c r="A44" s="1" t="n">
        <x:v>2023</x:v>
      </x:c>
      <x:c r="B44" s="1" t="str">
        <x:v>Canberra-Sydney</x:v>
      </x:c>
      <x:c r="C44" s="1" t="n">
        <x:v>12</x:v>
      </x:c>
      <x:c r="D44" s="1" t="n">
        <x:v>8078</x:v>
      </x:c>
      <x:c r="E44" s="1" t="n">
        <x:v>7418</x:v>
      </x:c>
      <x:c r="F44" s="1" t="n">
        <x:v>660</x:v>
      </x:c>
      <x:c r="G44" s="1" t="n">
        <x:v>5420</x:v>
      </x:c>
      <x:c r="H44" s="1" t="n">
        <x:v>1998</x:v>
      </x:c>
      <x:c r="I44" s="1"/>
    </x:row>
    <x:row r="45" ht="23" customHeight="1">
      <x:c r="A45" s="1" t="n">
        <x:v>2023</x:v>
      </x:c>
      <x:c r="B45" s="1" t="str">
        <x:v>Coffs Harbour-Sydney</x:v>
      </x:c>
      <x:c r="C45" s="1" t="n">
        <x:v>12</x:v>
      </x:c>
      <x:c r="D45" s="1" t="n">
        <x:v>2587</x:v>
      </x:c>
      <x:c r="E45" s="1" t="n">
        <x:v>2542</x:v>
      </x:c>
      <x:c r="F45" s="1" t="n">
        <x:v>45</x:v>
      </x:c>
      <x:c r="G45" s="1" t="n">
        <x:v>1787</x:v>
      </x:c>
      <x:c r="H45" s="1" t="n">
        <x:v>755</x:v>
      </x:c>
      <x:c r="I45" s="1"/>
    </x:row>
    <x:row r="46" ht="23" customHeight="1">
      <x:c r="A46" s="1" t="n">
        <x:v>2023</x:v>
      </x:c>
      <x:c r="B46" s="1" t="str">
        <x:v>Darwin-Adelaide</x:v>
      </x:c>
      <x:c r="C46" s="1" t="n">
        <x:v>6</x:v>
      </x:c>
      <x:c r="D46" s="1" t="n">
        <x:v>598</x:v>
      </x:c>
      <x:c r="E46" s="1" t="n">
        <x:v>590</x:v>
      </x:c>
      <x:c r="F46" s="1" t="n">
        <x:v>8</x:v>
      </x:c>
      <x:c r="G46" s="1" t="n">
        <x:v>490</x:v>
      </x:c>
      <x:c r="H46" s="1" t="n">
        <x:v>100</x:v>
      </x:c>
      <x:c r="I46" s="1"/>
    </x:row>
    <x:row r="47" ht="23" customHeight="1">
      <x:c r="A47" s="1" t="n">
        <x:v>2023</x:v>
      </x:c>
      <x:c r="B47" s="1" t="str">
        <x:v>Darwin-Brisbane</x:v>
      </x:c>
      <x:c r="C47" s="1" t="n">
        <x:v>12</x:v>
      </x:c>
      <x:c r="D47" s="1" t="n">
        <x:v>1093</x:v>
      </x:c>
      <x:c r="E47" s="1" t="n">
        <x:v>1072</x:v>
      </x:c>
      <x:c r="F47" s="1" t="n">
        <x:v>21</x:v>
      </x:c>
      <x:c r="G47" s="1" t="n">
        <x:v>767</x:v>
      </x:c>
      <x:c r="H47" s="1" t="n">
        <x:v>305</x:v>
      </x:c>
      <x:c r="I47" s="1"/>
    </x:row>
    <x:row r="48" ht="23" customHeight="1">
      <x:c r="A48" s="1" t="n">
        <x:v>2023</x:v>
      </x:c>
      <x:c r="B48" s="1" t="str">
        <x:v>Darwin-Melbourne</x:v>
      </x:c>
      <x:c r="C48" s="1" t="n">
        <x:v>12</x:v>
      </x:c>
      <x:c r="D48" s="1" t="n">
        <x:v>1041</x:v>
      </x:c>
      <x:c r="E48" s="1" t="n">
        <x:v>1019</x:v>
      </x:c>
      <x:c r="F48" s="1" t="n">
        <x:v>22</x:v>
      </x:c>
      <x:c r="G48" s="1" t="n">
        <x:v>635</x:v>
      </x:c>
      <x:c r="H48" s="1" t="n">
        <x:v>384</x:v>
      </x:c>
      <x:c r="I48" s="1"/>
    </x:row>
    <x:row r="49" ht="23" customHeight="1">
      <x:c r="A49" s="1" t="n">
        <x:v>2023</x:v>
      </x:c>
      <x:c r="B49" s="1" t="str">
        <x:v>Darwin-Perth</x:v>
      </x:c>
      <x:c r="C49" s="1" t="n">
        <x:v>12</x:v>
      </x:c>
      <x:c r="D49" s="1" t="n">
        <x:v>662</x:v>
      </x:c>
      <x:c r="E49" s="1" t="n">
        <x:v>651</x:v>
      </x:c>
      <x:c r="F49" s="1" t="n">
        <x:v>11</x:v>
      </x:c>
      <x:c r="G49" s="1" t="n">
        <x:v>429</x:v>
      </x:c>
      <x:c r="H49" s="1" t="n">
        <x:v>222</x:v>
      </x:c>
      <x:c r="I49" s="1"/>
    </x:row>
    <x:row r="50" ht="23" customHeight="1">
      <x:c r="A50" s="1" t="n">
        <x:v>2023</x:v>
      </x:c>
      <x:c r="B50" s="1" t="str">
        <x:v>Darwin-Sydney</x:v>
      </x:c>
      <x:c r="C50" s="1" t="n">
        <x:v>1</x:v>
      </x:c>
      <x:c r="D50" s="1" t="n">
        <x:v>62</x:v>
      </x:c>
      <x:c r="E50" s="1" t="n">
        <x:v>62</x:v>
      </x:c>
      <x:c r="F50" s="1" t="n">
        <x:v>0</x:v>
      </x:c>
      <x:c r="G50" s="1" t="n">
        <x:v>44</x:v>
      </x:c>
      <x:c r="H50" s="1" t="n">
        <x:v>18</x:v>
      </x:c>
      <x:c r="I50" s="1"/>
    </x:row>
    <x:row r="51" ht="23" customHeight="1">
      <x:c r="A51" s="1" t="n">
        <x:v>2023</x:v>
      </x:c>
      <x:c r="B51" s="1" t="str">
        <x:v>Devonport-Melbourne</x:v>
      </x:c>
      <x:c r="C51" s="1" t="n">
        <x:v>8</x:v>
      </x:c>
      <x:c r="D51" s="1" t="n">
        <x:v>1289</x:v>
      </x:c>
      <x:c r="E51" s="1" t="n">
        <x:v>1243</x:v>
      </x:c>
      <x:c r="F51" s="1" t="n">
        <x:v>46</x:v>
      </x:c>
      <x:c r="G51" s="1" t="n">
        <x:v>898</x:v>
      </x:c>
      <x:c r="H51" s="1" t="n">
        <x:v>345</x:v>
      </x:c>
      <x:c r="I51" s="1"/>
    </x:row>
    <x:row r="52" ht="23" customHeight="1">
      <x:c r="A52" s="1" t="n">
        <x:v>2023</x:v>
      </x:c>
      <x:c r="B52" s="1" t="str">
        <x:v>Dubbo-Sydney</x:v>
      </x:c>
      <x:c r="C52" s="1" t="n">
        <x:v>12</x:v>
      </x:c>
      <x:c r="D52" s="1" t="n">
        <x:v>2680</x:v>
      </x:c>
      <x:c r="E52" s="1" t="n">
        <x:v>2627</x:v>
      </x:c>
      <x:c r="F52" s="1" t="n">
        <x:v>53</x:v>
      </x:c>
      <x:c r="G52" s="1" t="n">
        <x:v>1952</x:v>
      </x:c>
      <x:c r="H52" s="1" t="n">
        <x:v>675</x:v>
      </x:c>
      <x:c r="I52" s="1"/>
    </x:row>
    <x:row r="53" ht="23" customHeight="1">
      <x:c r="A53" s="1" t="n">
        <x:v>2023</x:v>
      </x:c>
      <x:c r="B53" s="1" t="str">
        <x:v>Emerald-Brisbane</x:v>
      </x:c>
      <x:c r="C53" s="1" t="n">
        <x:v>12</x:v>
      </x:c>
      <x:c r="D53" s="1" t="n">
        <x:v>1734</x:v>
      </x:c>
      <x:c r="E53" s="1" t="n">
        <x:v>1699</x:v>
      </x:c>
      <x:c r="F53" s="1" t="n">
        <x:v>35</x:v>
      </x:c>
      <x:c r="G53" s="1" t="n">
        <x:v>1336</x:v>
      </x:c>
      <x:c r="H53" s="1" t="n">
        <x:v>363</x:v>
      </x:c>
      <x:c r="I53" s="1"/>
    </x:row>
    <x:row r="54" ht="23" customHeight="1">
      <x:c r="A54" s="1" t="n">
        <x:v>2023</x:v>
      </x:c>
      <x:c r="B54" s="1" t="str">
        <x:v>Gladstone-Brisbane</x:v>
      </x:c>
      <x:c r="C54" s="1" t="n">
        <x:v>12</x:v>
      </x:c>
      <x:c r="D54" s="1" t="n">
        <x:v>2270</x:v>
      </x:c>
      <x:c r="E54" s="1" t="n">
        <x:v>2132</x:v>
      </x:c>
      <x:c r="F54" s="1" t="n">
        <x:v>138</x:v>
      </x:c>
      <x:c r="G54" s="1" t="n">
        <x:v>1550</x:v>
      </x:c>
      <x:c r="H54" s="1" t="n">
        <x:v>582</x:v>
      </x:c>
      <x:c r="I54" s="1"/>
    </x:row>
    <x:row r="55" ht="23" customHeight="1">
      <x:c r="A55" s="1" t="n">
        <x:v>2023</x:v>
      </x:c>
      <x:c r="B55" s="1" t="str">
        <x:v>Gold Coast-Adelaide</x:v>
      </x:c>
      <x:c r="C55" s="1" t="n">
        <x:v>12</x:v>
      </x:c>
      <x:c r="D55" s="1" t="n">
        <x:v>802</x:v>
      </x:c>
      <x:c r="E55" s="1" t="n">
        <x:v>785</x:v>
      </x:c>
      <x:c r="F55" s="1" t="n">
        <x:v>17</x:v>
      </x:c>
      <x:c r="G55" s="1" t="n">
        <x:v>559</x:v>
      </x:c>
      <x:c r="H55" s="1" t="n">
        <x:v>226</x:v>
      </x:c>
      <x:c r="I55" s="1"/>
    </x:row>
    <x:row r="56" ht="23" customHeight="1">
      <x:c r="A56" s="1" t="n">
        <x:v>2023</x:v>
      </x:c>
      <x:c r="B56" s="1" t="str">
        <x:v>Gold Coast-Canberra</x:v>
      </x:c>
      <x:c r="C56" s="1" t="n">
        <x:v>12</x:v>
      </x:c>
      <x:c r="D56" s="1" t="n">
        <x:v>597</x:v>
      </x:c>
      <x:c r="E56" s="1" t="n">
        <x:v>594</x:v>
      </x:c>
      <x:c r="F56" s="1" t="n">
        <x:v>3</x:v>
      </x:c>
      <x:c r="G56" s="1" t="n">
        <x:v>398</x:v>
      </x:c>
      <x:c r="H56" s="1" t="n">
        <x:v>196</x:v>
      </x:c>
      <x:c r="I56" s="1"/>
    </x:row>
    <x:row r="57" ht="23" customHeight="1">
      <x:c r="A57" s="1" t="n">
        <x:v>2023</x:v>
      </x:c>
      <x:c r="B57" s="1" t="str">
        <x:v>Gold Coast-Melbourne</x:v>
      </x:c>
      <x:c r="C57" s="1" t="n">
        <x:v>12</x:v>
      </x:c>
      <x:c r="D57" s="1" t="n">
        <x:v>6592</x:v>
      </x:c>
      <x:c r="E57" s="1" t="n">
        <x:v>6311</x:v>
      </x:c>
      <x:c r="F57" s="1" t="n">
        <x:v>281</x:v>
      </x:c>
      <x:c r="G57" s="1" t="n">
        <x:v>4140</x:v>
      </x:c>
      <x:c r="H57" s="1" t="n">
        <x:v>2171</x:v>
      </x:c>
      <x:c r="I57" s="1"/>
    </x:row>
    <x:row r="58" ht="23" customHeight="1">
      <x:c r="A58" s="1" t="n">
        <x:v>2023</x:v>
      </x:c>
      <x:c r="B58" s="1" t="str">
        <x:v>Gold Coast-Sydney</x:v>
      </x:c>
      <x:c r="C58" s="1" t="n">
        <x:v>12</x:v>
      </x:c>
      <x:c r="D58" s="1" t="n">
        <x:v>8329</x:v>
      </x:c>
      <x:c r="E58" s="1" t="n">
        <x:v>7997</x:v>
      </x:c>
      <x:c r="F58" s="1" t="n">
        <x:v>332</x:v>
      </x:c>
      <x:c r="G58" s="1" t="n">
        <x:v>5425</x:v>
      </x:c>
      <x:c r="H58" s="1" t="n">
        <x:v>2572</x:v>
      </x:c>
      <x:c r="I58" s="1"/>
    </x:row>
    <x:row r="59" ht="23" customHeight="1">
      <x:c r="A59" s="1" t="n">
        <x:v>2023</x:v>
      </x:c>
      <x:c r="B59" s="1" t="str">
        <x:v>Hamilton Island-Brisbane</x:v>
      </x:c>
      <x:c r="C59" s="1" t="n">
        <x:v>12</x:v>
      </x:c>
      <x:c r="D59" s="1" t="n">
        <x:v>701</x:v>
      </x:c>
      <x:c r="E59" s="1" t="n">
        <x:v>697</x:v>
      </x:c>
      <x:c r="F59" s="1" t="n">
        <x:v>4</x:v>
      </x:c>
      <x:c r="G59" s="1" t="n">
        <x:v>497</x:v>
      </x:c>
      <x:c r="H59" s="1" t="n">
        <x:v>200</x:v>
      </x:c>
      <x:c r="I59" s="1"/>
    </x:row>
    <x:row r="60" ht="23" customHeight="1">
      <x:c r="A60" s="1" t="n">
        <x:v>2023</x:v>
      </x:c>
      <x:c r="B60" s="1" t="str">
        <x:v>Hamilton Island-Sydney</x:v>
      </x:c>
      <x:c r="C60" s="1" t="n">
        <x:v>12</x:v>
      </x:c>
      <x:c r="D60" s="1" t="n">
        <x:v>989</x:v>
      </x:c>
      <x:c r="E60" s="1" t="n">
        <x:v>978</x:v>
      </x:c>
      <x:c r="F60" s="1" t="n">
        <x:v>11</x:v>
      </x:c>
      <x:c r="G60" s="1" t="n">
        <x:v>507</x:v>
      </x:c>
      <x:c r="H60" s="1" t="n">
        <x:v>471</x:v>
      </x:c>
      <x:c r="I60" s="1"/>
    </x:row>
    <x:row r="61" ht="23" customHeight="1">
      <x:c r="A61" s="1" t="n">
        <x:v>2023</x:v>
      </x:c>
      <x:c r="B61" s="1" t="str">
        <x:v>Hobart-Brisbane</x:v>
      </x:c>
      <x:c r="C61" s="1" t="n">
        <x:v>12</x:v>
      </x:c>
      <x:c r="D61" s="1" t="n">
        <x:v>1162</x:v>
      </x:c>
      <x:c r="E61" s="1" t="n">
        <x:v>1135</x:v>
      </x:c>
      <x:c r="F61" s="1" t="n">
        <x:v>27</x:v>
      </x:c>
      <x:c r="G61" s="1" t="n">
        <x:v>726</x:v>
      </x:c>
      <x:c r="H61" s="1" t="n">
        <x:v>409</x:v>
      </x:c>
      <x:c r="I61" s="1"/>
    </x:row>
    <x:row r="62" ht="23" customHeight="1">
      <x:c r="A62" s="1" t="n">
        <x:v>2023</x:v>
      </x:c>
      <x:c r="B62" s="1" t="str">
        <x:v>Hobart-Melbourne</x:v>
      </x:c>
      <x:c r="C62" s="1" t="n">
        <x:v>12</x:v>
      </x:c>
      <x:c r="D62" s="1" t="n">
        <x:v>4637</x:v>
      </x:c>
      <x:c r="E62" s="1" t="n">
        <x:v>4526</x:v>
      </x:c>
      <x:c r="F62" s="1" t="n">
        <x:v>111</x:v>
      </x:c>
      <x:c r="G62" s="1" t="n">
        <x:v>2673</x:v>
      </x:c>
      <x:c r="H62" s="1" t="n">
        <x:v>1853</x:v>
      </x:c>
      <x:c r="I62" s="1"/>
    </x:row>
    <x:row r="63" ht="23" customHeight="1">
      <x:c r="A63" s="1" t="n">
        <x:v>2023</x:v>
      </x:c>
      <x:c r="B63" s="1" t="str">
        <x:v>Hobart-Sydney</x:v>
      </x:c>
      <x:c r="C63" s="1" t="n">
        <x:v>12</x:v>
      </x:c>
      <x:c r="D63" s="1" t="n">
        <x:v>2916</x:v>
      </x:c>
      <x:c r="E63" s="1" t="n">
        <x:v>2834</x:v>
      </x:c>
      <x:c r="F63" s="1" t="n">
        <x:v>82</x:v>
      </x:c>
      <x:c r="G63" s="1" t="n">
        <x:v>1941</x:v>
      </x:c>
      <x:c r="H63" s="1" t="n">
        <x:v>893</x:v>
      </x:c>
      <x:c r="I63" s="1"/>
    </x:row>
    <x:row r="64" ht="23" customHeight="1">
      <x:c r="A64" s="1" t="n">
        <x:v>2023</x:v>
      </x:c>
      <x:c r="B64" s="1" t="str">
        <x:v>Kalgoorlie-Perth</x:v>
      </x:c>
      <x:c r="C64" s="1" t="n">
        <x:v>12</x:v>
      </x:c>
      <x:c r="D64" s="1" t="n">
        <x:v>1879</x:v>
      </x:c>
      <x:c r="E64" s="1" t="n">
        <x:v>1822</x:v>
      </x:c>
      <x:c r="F64" s="1" t="n">
        <x:v>57</x:v>
      </x:c>
      <x:c r="G64" s="1" t="n">
        <x:v>1274</x:v>
      </x:c>
      <x:c r="H64" s="1" t="n">
        <x:v>548</x:v>
      </x:c>
      <x:c r="I64" s="1"/>
    </x:row>
    <x:row r="65" ht="23" customHeight="1">
      <x:c r="A65" s="1" t="n">
        <x:v>2023</x:v>
      </x:c>
      <x:c r="B65" s="1" t="str">
        <x:v>Karratha-Perth</x:v>
      </x:c>
      <x:c r="C65" s="1" t="n">
        <x:v>12</x:v>
      </x:c>
      <x:c r="D65" s="1" t="n">
        <x:v>2379</x:v>
      </x:c>
      <x:c r="E65" s="1" t="n">
        <x:v>2335</x:v>
      </x:c>
      <x:c r="F65" s="1" t="n">
        <x:v>44</x:v>
      </x:c>
      <x:c r="G65" s="1" t="n">
        <x:v>1696</x:v>
      </x:c>
      <x:c r="H65" s="1" t="n">
        <x:v>639</x:v>
      </x:c>
      <x:c r="I65" s="1"/>
    </x:row>
    <x:row r="66" ht="23" customHeight="1">
      <x:c r="A66" s="1" t="n">
        <x:v>2023</x:v>
      </x:c>
      <x:c r="B66" s="1" t="str">
        <x:v>Launceston-Brisbane</x:v>
      </x:c>
      <x:c r="C66" s="1" t="n">
        <x:v>12</x:v>
      </x:c>
      <x:c r="D66" s="1" t="n">
        <x:v>542</x:v>
      </x:c>
      <x:c r="E66" s="1" t="n">
        <x:v>529</x:v>
      </x:c>
      <x:c r="F66" s="1" t="n">
        <x:v>13</x:v>
      </x:c>
      <x:c r="G66" s="1" t="n">
        <x:v>287</x:v>
      </x:c>
      <x:c r="H66" s="1" t="n">
        <x:v>242</x:v>
      </x:c>
      <x:c r="I66" s="1"/>
    </x:row>
    <x:row r="67" ht="23" customHeight="1">
      <x:c r="A67" s="1" t="n">
        <x:v>2023</x:v>
      </x:c>
      <x:c r="B67" s="1" t="str">
        <x:v>Launceston-Melbourne</x:v>
      </x:c>
      <x:c r="C67" s="1" t="n">
        <x:v>12</x:v>
      </x:c>
      <x:c r="D67" s="1" t="n">
        <x:v>3657</x:v>
      </x:c>
      <x:c r="E67" s="1" t="n">
        <x:v>3536</x:v>
      </x:c>
      <x:c r="F67" s="1" t="n">
        <x:v>121</x:v>
      </x:c>
      <x:c r="G67" s="1" t="n">
        <x:v>2316</x:v>
      </x:c>
      <x:c r="H67" s="1" t="n">
        <x:v>1220</x:v>
      </x:c>
      <x:c r="I67" s="1"/>
    </x:row>
    <x:row r="68" ht="23" customHeight="1">
      <x:c r="A68" s="1" t="n">
        <x:v>2023</x:v>
      </x:c>
      <x:c r="B68" s="1" t="str">
        <x:v>Launceston-Sydney</x:v>
      </x:c>
      <x:c r="C68" s="1" t="n">
        <x:v>12</x:v>
      </x:c>
      <x:c r="D68" s="1" t="n">
        <x:v>1298</x:v>
      </x:c>
      <x:c r="E68" s="1" t="n">
        <x:v>1269</x:v>
      </x:c>
      <x:c r="F68" s="1" t="n">
        <x:v>29</x:v>
      </x:c>
      <x:c r="G68" s="1" t="n">
        <x:v>793</x:v>
      </x:c>
      <x:c r="H68" s="1" t="n">
        <x:v>476</x:v>
      </x:c>
      <x:c r="I68" s="1"/>
    </x:row>
    <x:row r="69" ht="23" customHeight="1">
      <x:c r="A69" s="1" t="n">
        <x:v>2023</x:v>
      </x:c>
      <x:c r="B69" s="1" t="str">
        <x:v>Mackay-Brisbane</x:v>
      </x:c>
      <x:c r="C69" s="1" t="n">
        <x:v>12</x:v>
      </x:c>
      <x:c r="D69" s="1" t="n">
        <x:v>3495</x:v>
      </x:c>
      <x:c r="E69" s="1" t="n">
        <x:v>3442</x:v>
      </x:c>
      <x:c r="F69" s="1" t="n">
        <x:v>53</x:v>
      </x:c>
      <x:c r="G69" s="1" t="n">
        <x:v>2253</x:v>
      </x:c>
      <x:c r="H69" s="1" t="n">
        <x:v>1189</x:v>
      </x:c>
      <x:c r="I69" s="1"/>
    </x:row>
    <x:row r="70" ht="23" customHeight="1">
      <x:c r="A70" s="1" t="n">
        <x:v>2023</x:v>
      </x:c>
      <x:c r="B70" s="1" t="str">
        <x:v>Melbourne-Adelaide</x:v>
      </x:c>
      <x:c r="C70" s="1" t="n">
        <x:v>12</x:v>
      </x:c>
      <x:c r="D70" s="1" t="n">
        <x:v>8206</x:v>
      </x:c>
      <x:c r="E70" s="1" t="n">
        <x:v>8031</x:v>
      </x:c>
      <x:c r="F70" s="1" t="n">
        <x:v>175</x:v>
      </x:c>
      <x:c r="G70" s="1" t="n">
        <x:v>5328</x:v>
      </x:c>
      <x:c r="H70" s="1" t="n">
        <x:v>2703</x:v>
      </x:c>
      <x:c r="I70" s="1"/>
    </x:row>
    <x:row r="71" ht="23" customHeight="1">
      <x:c r="A71" s="1" t="n">
        <x:v>2023</x:v>
      </x:c>
      <x:c r="B71" s="1" t="str">
        <x:v>Melbourne-Brisbane</x:v>
      </x:c>
      <x:c r="C71" s="1" t="n">
        <x:v>12</x:v>
      </x:c>
      <x:c r="D71" s="1" t="n">
        <x:v>11935</x:v>
      </x:c>
      <x:c r="E71" s="1" t="n">
        <x:v>11396</x:v>
      </x:c>
      <x:c r="F71" s="1" t="n">
        <x:v>539</x:v>
      </x:c>
      <x:c r="G71" s="1" t="n">
        <x:v>7558</x:v>
      </x:c>
      <x:c r="H71" s="1" t="n">
        <x:v>3838</x:v>
      </x:c>
      <x:c r="I71" s="1"/>
    </x:row>
    <x:row r="72" ht="23" customHeight="1">
      <x:c r="A72" s="1" t="n">
        <x:v>2023</x:v>
      </x:c>
      <x:c r="B72" s="1" t="str">
        <x:v>Melbourne-Cairns</x:v>
      </x:c>
      <x:c r="C72" s="1" t="n">
        <x:v>12</x:v>
      </x:c>
      <x:c r="D72" s="1" t="n">
        <x:v>2421</x:v>
      </x:c>
      <x:c r="E72" s="1" t="n">
        <x:v>2337</x:v>
      </x:c>
      <x:c r="F72" s="1" t="n">
        <x:v>84</x:v>
      </x:c>
      <x:c r="G72" s="1" t="n">
        <x:v>1602</x:v>
      </x:c>
      <x:c r="H72" s="1" t="n">
        <x:v>735</x:v>
      </x:c>
      <x:c r="I72" s="1"/>
    </x:row>
    <x:row r="73" ht="23" customHeight="1">
      <x:c r="A73" s="1" t="n">
        <x:v>2023</x:v>
      </x:c>
      <x:c r="B73" s="1" t="str">
        <x:v>Melbourne-Canberra</x:v>
      </x:c>
      <x:c r="C73" s="1" t="n">
        <x:v>12</x:v>
      </x:c>
      <x:c r="D73" s="1" t="n">
        <x:v>5224</x:v>
      </x:c>
      <x:c r="E73" s="1" t="n">
        <x:v>5064</x:v>
      </x:c>
      <x:c r="F73" s="1" t="n">
        <x:v>160</x:v>
      </x:c>
      <x:c r="G73" s="1" t="n">
        <x:v>3531</x:v>
      </x:c>
      <x:c r="H73" s="1" t="n">
        <x:v>1533</x:v>
      </x:c>
      <x:c r="I73" s="1"/>
    </x:row>
    <x:row r="74" ht="23" customHeight="1">
      <x:c r="A74" s="1" t="n">
        <x:v>2023</x:v>
      </x:c>
      <x:c r="B74" s="1" t="str">
        <x:v>Melbourne-Darwin</x:v>
      </x:c>
      <x:c r="C74" s="1" t="n">
        <x:v>12</x:v>
      </x:c>
      <x:c r="D74" s="1" t="n">
        <x:v>1038</x:v>
      </x:c>
      <x:c r="E74" s="1" t="n">
        <x:v>1024</x:v>
      </x:c>
      <x:c r="F74" s="1" t="n">
        <x:v>14</x:v>
      </x:c>
      <x:c r="G74" s="1" t="n">
        <x:v>555</x:v>
      </x:c>
      <x:c r="H74" s="1" t="n">
        <x:v>469</x:v>
      </x:c>
      <x:c r="I74" s="1"/>
    </x:row>
    <x:row r="75" ht="23" customHeight="1">
      <x:c r="A75" s="1" t="n">
        <x:v>2023</x:v>
      </x:c>
      <x:c r="B75" s="1" t="str">
        <x:v>Melbourne-Devonport</x:v>
      </x:c>
      <x:c r="C75" s="1" t="n">
        <x:v>8</x:v>
      </x:c>
      <x:c r="D75" s="1" t="n">
        <x:v>1289</x:v>
      </x:c>
      <x:c r="E75" s="1" t="n">
        <x:v>1250</x:v>
      </x:c>
      <x:c r="F75" s="1" t="n">
        <x:v>39</x:v>
      </x:c>
      <x:c r="G75" s="1" t="n">
        <x:v>967</x:v>
      </x:c>
      <x:c r="H75" s="1" t="n">
        <x:v>283</x:v>
      </x:c>
      <x:c r="I75" s="1"/>
    </x:row>
    <x:row r="76" ht="23" customHeight="1">
      <x:c r="A76" s="1" t="n">
        <x:v>2023</x:v>
      </x:c>
      <x:c r="B76" s="1" t="str">
        <x:v>Melbourne-Gold Coast</x:v>
      </x:c>
      <x:c r="C76" s="1" t="n">
        <x:v>12</x:v>
      </x:c>
      <x:c r="D76" s="1" t="n">
        <x:v>6587</x:v>
      </x:c>
      <x:c r="E76" s="1" t="n">
        <x:v>6318</x:v>
      </x:c>
      <x:c r="F76" s="1" t="n">
        <x:v>269</x:v>
      </x:c>
      <x:c r="G76" s="1" t="n">
        <x:v>4238</x:v>
      </x:c>
      <x:c r="H76" s="1" t="n">
        <x:v>2080</x:v>
      </x:c>
      <x:c r="I76" s="1"/>
    </x:row>
    <x:row r="77" ht="23" customHeight="1">
      <x:c r="A77" s="1" t="n">
        <x:v>2023</x:v>
      </x:c>
      <x:c r="B77" s="1" t="str">
        <x:v>Melbourne-Hobart</x:v>
      </x:c>
      <x:c r="C77" s="1" t="n">
        <x:v>12</x:v>
      </x:c>
      <x:c r="D77" s="1" t="n">
        <x:v>4639</x:v>
      </x:c>
      <x:c r="E77" s="1" t="n">
        <x:v>4545</x:v>
      </x:c>
      <x:c r="F77" s="1" t="n">
        <x:v>94</x:v>
      </x:c>
      <x:c r="G77" s="1" t="n">
        <x:v>2826</x:v>
      </x:c>
      <x:c r="H77" s="1" t="n">
        <x:v>1719</x:v>
      </x:c>
      <x:c r="I77" s="1"/>
    </x:row>
    <x:row r="78" ht="23" customHeight="1">
      <x:c r="A78" s="1" t="n">
        <x:v>2023</x:v>
      </x:c>
      <x:c r="B78" s="1" t="str">
        <x:v>Melbourne-Launceston</x:v>
      </x:c>
      <x:c r="C78" s="1" t="n">
        <x:v>12</x:v>
      </x:c>
      <x:c r="D78" s="1" t="n">
        <x:v>3651</x:v>
      </x:c>
      <x:c r="E78" s="1" t="n">
        <x:v>3542</x:v>
      </x:c>
      <x:c r="F78" s="1" t="n">
        <x:v>109</x:v>
      </x:c>
      <x:c r="G78" s="1" t="n">
        <x:v>2214</x:v>
      </x:c>
      <x:c r="H78" s="1" t="n">
        <x:v>1328</x:v>
      </x:c>
      <x:c r="I78" s="1"/>
    </x:row>
    <x:row r="79" ht="23" customHeight="1">
      <x:c r="A79" s="1" t="n">
        <x:v>2023</x:v>
      </x:c>
      <x:c r="B79" s="1" t="str">
        <x:v>Melbourne-Mildura</x:v>
      </x:c>
      <x:c r="C79" s="1" t="n">
        <x:v>12</x:v>
      </x:c>
      <x:c r="D79" s="1" t="n">
        <x:v>2529</x:v>
      </x:c>
      <x:c r="E79" s="1" t="n">
        <x:v>2481</x:v>
      </x:c>
      <x:c r="F79" s="1" t="n">
        <x:v>48</x:v>
      </x:c>
      <x:c r="G79" s="1" t="n">
        <x:v>1643</x:v>
      </x:c>
      <x:c r="H79" s="1" t="n">
        <x:v>838</x:v>
      </x:c>
      <x:c r="I79" s="1"/>
    </x:row>
    <x:row r="80" ht="23" customHeight="1">
      <x:c r="A80" s="1" t="n">
        <x:v>2023</x:v>
      </x:c>
      <x:c r="B80" s="1" t="str">
        <x:v>Melbourne-Newcastle</x:v>
      </x:c>
      <x:c r="C80" s="1" t="n">
        <x:v>12</x:v>
      </x:c>
      <x:c r="D80" s="1" t="n">
        <x:v>1736</x:v>
      </x:c>
      <x:c r="E80" s="1" t="n">
        <x:v>1701</x:v>
      </x:c>
      <x:c r="F80" s="1" t="n">
        <x:v>35</x:v>
      </x:c>
      <x:c r="G80" s="1" t="n">
        <x:v>1128</x:v>
      </x:c>
      <x:c r="H80" s="1" t="n">
        <x:v>573</x:v>
      </x:c>
      <x:c r="I80" s="1"/>
    </x:row>
    <x:row r="81" ht="23" customHeight="1">
      <x:c r="A81" s="1" t="n">
        <x:v>2023</x:v>
      </x:c>
      <x:c r="B81" s="1" t="str">
        <x:v>Melbourne-Perth</x:v>
      </x:c>
      <x:c r="C81" s="1" t="n">
        <x:v>12</x:v>
      </x:c>
      <x:c r="D81" s="1" t="n">
        <x:v>5575</x:v>
      </x:c>
      <x:c r="E81" s="1" t="n">
        <x:v>5393</x:v>
      </x:c>
      <x:c r="F81" s="1" t="n">
        <x:v>182</x:v>
      </x:c>
      <x:c r="G81" s="1" t="n">
        <x:v>3503</x:v>
      </x:c>
      <x:c r="H81" s="1" t="n">
        <x:v>1890</x:v>
      </x:c>
      <x:c r="I81" s="1"/>
    </x:row>
    <x:row r="82" ht="23" customHeight="1">
      <x:c r="A82" s="1" t="n">
        <x:v>2023</x:v>
      </x:c>
      <x:c r="B82" s="1" t="str">
        <x:v>Melbourne-Sunshine Coast</x:v>
      </x:c>
      <x:c r="C82" s="1" t="n">
        <x:v>12</x:v>
      </x:c>
      <x:c r="D82" s="1" t="n">
        <x:v>2182</x:v>
      </x:c>
      <x:c r="E82" s="1" t="n">
        <x:v>2156</x:v>
      </x:c>
      <x:c r="F82" s="1" t="n">
        <x:v>26</x:v>
      </x:c>
      <x:c r="G82" s="1" t="n">
        <x:v>1518</x:v>
      </x:c>
      <x:c r="H82" s="1" t="n">
        <x:v>638</x:v>
      </x:c>
      <x:c r="I82" s="1"/>
    </x:row>
    <x:row r="83" ht="23" customHeight="1">
      <x:c r="A83" s="1" t="n">
        <x:v>2023</x:v>
      </x:c>
      <x:c r="B83" s="1" t="str">
        <x:v>Melbourne-Sydney</x:v>
      </x:c>
      <x:c r="C83" s="1" t="n">
        <x:v>12</x:v>
      </x:c>
      <x:c r="D83" s="1" t="n">
        <x:v>26604</x:v>
      </x:c>
      <x:c r="E83" s="1" t="n">
        <x:v>24222</x:v>
      </x:c>
      <x:c r="F83" s="1" t="n">
        <x:v>2382</x:v>
      </x:c>
      <x:c r="G83" s="1" t="n">
        <x:v>16373</x:v>
      </x:c>
      <x:c r="H83" s="1" t="n">
        <x:v>7849</x:v>
      </x:c>
      <x:c r="I83" s="1"/>
    </x:row>
    <x:row r="84" ht="23" customHeight="1">
      <x:c r="A84" s="1" t="n">
        <x:v>2023</x:v>
      </x:c>
      <x:c r="B84" s="1" t="str">
        <x:v>Mildura-Melbourne</x:v>
      </x:c>
      <x:c r="C84" s="1" t="n">
        <x:v>12</x:v>
      </x:c>
      <x:c r="D84" s="1" t="n">
        <x:v>2528</x:v>
      </x:c>
      <x:c r="E84" s="1" t="n">
        <x:v>2464</x:v>
      </x:c>
      <x:c r="F84" s="1" t="n">
        <x:v>64</x:v>
      </x:c>
      <x:c r="G84" s="1" t="n">
        <x:v>1566</x:v>
      </x:c>
      <x:c r="H84" s="1" t="n">
        <x:v>898</x:v>
      </x:c>
      <x:c r="I84" s="1"/>
    </x:row>
    <x:row r="85" ht="23" customHeight="1">
      <x:c r="A85" s="1" t="n">
        <x:v>2023</x:v>
      </x:c>
      <x:c r="B85" s="1" t="str">
        <x:v>Mount Isa-Brisbane</x:v>
      </x:c>
      <x:c r="C85" s="1" t="n">
        <x:v>12</x:v>
      </x:c>
      <x:c r="D85" s="1" t="n">
        <x:v>762</x:v>
      </x:c>
      <x:c r="E85" s="1" t="n">
        <x:v>756</x:v>
      </x:c>
      <x:c r="F85" s="1" t="n">
        <x:v>6</x:v>
      </x:c>
      <x:c r="G85" s="1" t="n">
        <x:v>600</x:v>
      </x:c>
      <x:c r="H85" s="1" t="n">
        <x:v>156</x:v>
      </x:c>
      <x:c r="I85" s="1"/>
    </x:row>
    <x:row r="86" ht="23" customHeight="1">
      <x:c r="A86" s="1" t="n">
        <x:v>2023</x:v>
      </x:c>
      <x:c r="B86" s="1" t="str">
        <x:v>Newcastle-Brisbane</x:v>
      </x:c>
      <x:c r="C86" s="1" t="n">
        <x:v>12</x:v>
      </x:c>
      <x:c r="D86" s="1" t="n">
        <x:v>3204</x:v>
      </x:c>
      <x:c r="E86" s="1" t="n">
        <x:v>3039</x:v>
      </x:c>
      <x:c r="F86" s="1" t="n">
        <x:v>165</x:v>
      </x:c>
      <x:c r="G86" s="1" t="n">
        <x:v>2293</x:v>
      </x:c>
      <x:c r="H86" s="1" t="n">
        <x:v>746</x:v>
      </x:c>
      <x:c r="I86" s="1"/>
    </x:row>
    <x:row r="87" ht="23" customHeight="1">
      <x:c r="A87" s="1" t="n">
        <x:v>2023</x:v>
      </x:c>
      <x:c r="B87" s="1" t="str">
        <x:v>Newcastle-Melbourne</x:v>
      </x:c>
      <x:c r="C87" s="1" t="n">
        <x:v>12</x:v>
      </x:c>
      <x:c r="D87" s="1" t="n">
        <x:v>1744</x:v>
      </x:c>
      <x:c r="E87" s="1" t="n">
        <x:v>1703</x:v>
      </x:c>
      <x:c r="F87" s="1" t="n">
        <x:v>41</x:v>
      </x:c>
      <x:c r="G87" s="1" t="n">
        <x:v>1098</x:v>
      </x:c>
      <x:c r="H87" s="1" t="n">
        <x:v>605</x:v>
      </x:c>
      <x:c r="I87" s="1"/>
    </x:row>
    <x:row r="88" ht="23" customHeight="1">
      <x:c r="A88" s="1" t="n">
        <x:v>2023</x:v>
      </x:c>
      <x:c r="B88" s="1" t="str">
        <x:v>Newman-Perth</x:v>
      </x:c>
      <x:c r="C88" s="1" t="n">
        <x:v>12</x:v>
      </x:c>
      <x:c r="D88" s="1" t="n">
        <x:v>2035</x:v>
      </x:c>
      <x:c r="E88" s="1" t="n">
        <x:v>1971</x:v>
      </x:c>
      <x:c r="F88" s="1" t="n">
        <x:v>64</x:v>
      </x:c>
      <x:c r="G88" s="1" t="n">
        <x:v>1328</x:v>
      </x:c>
      <x:c r="H88" s="1" t="n">
        <x:v>643</x:v>
      </x:c>
      <x:c r="I88" s="1"/>
    </x:row>
    <x:row r="89" ht="23" customHeight="1">
      <x:c r="A89" s="1" t="n">
        <x:v>2023</x:v>
      </x:c>
      <x:c r="B89" s="1" t="str">
        <x:v>Perth-Adelaide</x:v>
      </x:c>
      <x:c r="C89" s="1" t="n">
        <x:v>12</x:v>
      </x:c>
      <x:c r="D89" s="1" t="n">
        <x:v>2267</x:v>
      </x:c>
      <x:c r="E89" s="1" t="n">
        <x:v>2189</x:v>
      </x:c>
      <x:c r="F89" s="1" t="n">
        <x:v>78</x:v>
      </x:c>
      <x:c r="G89" s="1" t="n">
        <x:v>1567</x:v>
      </x:c>
      <x:c r="H89" s="1" t="n">
        <x:v>622</x:v>
      </x:c>
      <x:c r="I89" s="1"/>
    </x:row>
    <x:row r="90" ht="23" customHeight="1">
      <x:c r="A90" s="1" t="n">
        <x:v>2023</x:v>
      </x:c>
      <x:c r="B90" s="1" t="str">
        <x:v>Perth-Brisbane</x:v>
      </x:c>
      <x:c r="C90" s="1" t="n">
        <x:v>12</x:v>
      </x:c>
      <x:c r="D90" s="1" t="n">
        <x:v>3540</x:v>
      </x:c>
      <x:c r="E90" s="1" t="n">
        <x:v>3443</x:v>
      </x:c>
      <x:c r="F90" s="1" t="n">
        <x:v>97</x:v>
      </x:c>
      <x:c r="G90" s="1" t="n">
        <x:v>2519</x:v>
      </x:c>
      <x:c r="H90" s="1" t="n">
        <x:v>924</x:v>
      </x:c>
      <x:c r="I90" s="1"/>
    </x:row>
    <x:row r="91" ht="23" customHeight="1">
      <x:c r="A91" s="1" t="n">
        <x:v>2023</x:v>
      </x:c>
      <x:c r="B91" s="1" t="str">
        <x:v>Perth-Broome</x:v>
      </x:c>
      <x:c r="C91" s="1" t="n">
        <x:v>12</x:v>
      </x:c>
      <x:c r="D91" s="1" t="n">
        <x:v>1574</x:v>
      </x:c>
      <x:c r="E91" s="1" t="n">
        <x:v>1530</x:v>
      </x:c>
      <x:c r="F91" s="1" t="n">
        <x:v>44</x:v>
      </x:c>
      <x:c r="G91" s="1" t="n">
        <x:v>1197</x:v>
      </x:c>
      <x:c r="H91" s="1" t="n">
        <x:v>333</x:v>
      </x:c>
      <x:c r="I91" s="1"/>
    </x:row>
    <x:row r="92" ht="23" customHeight="1">
      <x:c r="A92" s="1" t="n">
        <x:v>2023</x:v>
      </x:c>
      <x:c r="B92" s="1" t="str">
        <x:v>Perth-Darwin</x:v>
      </x:c>
      <x:c r="C92" s="1" t="n">
        <x:v>12</x:v>
      </x:c>
      <x:c r="D92" s="1" t="n">
        <x:v>663</x:v>
      </x:c>
      <x:c r="E92" s="1" t="n">
        <x:v>656</x:v>
      </x:c>
      <x:c r="F92" s="1" t="n">
        <x:v>7</x:v>
      </x:c>
      <x:c r="G92" s="1" t="n">
        <x:v>471</x:v>
      </x:c>
      <x:c r="H92" s="1" t="n">
        <x:v>185</x:v>
      </x:c>
      <x:c r="I92" s="1"/>
    </x:row>
    <x:row r="93" ht="23" customHeight="1">
      <x:c r="A93" s="1" t="n">
        <x:v>2023</x:v>
      </x:c>
      <x:c r="B93" s="1" t="str">
        <x:v>Perth-Kalgoorlie</x:v>
      </x:c>
      <x:c r="C93" s="1" t="n">
        <x:v>12</x:v>
      </x:c>
      <x:c r="D93" s="1" t="n">
        <x:v>1877</x:v>
      </x:c>
      <x:c r="E93" s="1" t="n">
        <x:v>1826</x:v>
      </x:c>
      <x:c r="F93" s="1" t="n">
        <x:v>51</x:v>
      </x:c>
      <x:c r="G93" s="1" t="n">
        <x:v>1407</x:v>
      </x:c>
      <x:c r="H93" s="1" t="n">
        <x:v>419</x:v>
      </x:c>
      <x:c r="I93" s="1"/>
    </x:row>
    <x:row r="94" ht="23" customHeight="1">
      <x:c r="A94" s="1" t="n">
        <x:v>2023</x:v>
      </x:c>
      <x:c r="B94" s="1" t="str">
        <x:v>Perth-Karratha</x:v>
      </x:c>
      <x:c r="C94" s="1" t="n">
        <x:v>12</x:v>
      </x:c>
      <x:c r="D94" s="1" t="n">
        <x:v>2387</x:v>
      </x:c>
      <x:c r="E94" s="1" t="n">
        <x:v>2347</x:v>
      </x:c>
      <x:c r="F94" s="1" t="n">
        <x:v>40</x:v>
      </x:c>
      <x:c r="G94" s="1" t="n">
        <x:v>1823</x:v>
      </x:c>
      <x:c r="H94" s="1" t="n">
        <x:v>524</x:v>
      </x:c>
      <x:c r="I94" s="1"/>
    </x:row>
    <x:row r="95" ht="23" customHeight="1">
      <x:c r="A95" s="1" t="n">
        <x:v>2023</x:v>
      </x:c>
      <x:c r="B95" s="1" t="str">
        <x:v>Perth-Melbourne</x:v>
      </x:c>
      <x:c r="C95" s="1" t="n">
        <x:v>12</x:v>
      </x:c>
      <x:c r="D95" s="1" t="n">
        <x:v>5696</x:v>
      </x:c>
      <x:c r="E95" s="1" t="n">
        <x:v>5482</x:v>
      </x:c>
      <x:c r="F95" s="1" t="n">
        <x:v>214</x:v>
      </x:c>
      <x:c r="G95" s="1" t="n">
        <x:v>3758</x:v>
      </x:c>
      <x:c r="H95" s="1" t="n">
        <x:v>1724</x:v>
      </x:c>
      <x:c r="I95" s="1"/>
    </x:row>
    <x:row r="96" ht="23" customHeight="1">
      <x:c r="A96" s="1" t="n">
        <x:v>2023</x:v>
      </x:c>
      <x:c r="B96" s="1" t="str">
        <x:v>Perth-Newman</x:v>
      </x:c>
      <x:c r="C96" s="1" t="n">
        <x:v>12</x:v>
      </x:c>
      <x:c r="D96" s="1" t="n">
        <x:v>2035</x:v>
      </x:c>
      <x:c r="E96" s="1" t="n">
        <x:v>1987</x:v>
      </x:c>
      <x:c r="F96" s="1" t="n">
        <x:v>48</x:v>
      </x:c>
      <x:c r="G96" s="1" t="n">
        <x:v>1623</x:v>
      </x:c>
      <x:c r="H96" s="1" t="n">
        <x:v>364</x:v>
      </x:c>
      <x:c r="I96" s="1"/>
    </x:row>
    <x:row r="97" ht="23" customHeight="1">
      <x:c r="A97" s="1" t="n">
        <x:v>2023</x:v>
      </x:c>
      <x:c r="B97" s="1" t="str">
        <x:v>Perth-Port Hedland</x:v>
      </x:c>
      <x:c r="C97" s="1" t="n">
        <x:v>12</x:v>
      </x:c>
      <x:c r="D97" s="1" t="n">
        <x:v>2244</x:v>
      </x:c>
      <x:c r="E97" s="1" t="n">
        <x:v>2185</x:v>
      </x:c>
      <x:c r="F97" s="1" t="n">
        <x:v>59</x:v>
      </x:c>
      <x:c r="G97" s="1" t="n">
        <x:v>1712</x:v>
      </x:c>
      <x:c r="H97" s="1" t="n">
        <x:v>473</x:v>
      </x:c>
      <x:c r="I97" s="1"/>
    </x:row>
    <x:row r="98" ht="23" customHeight="1">
      <x:c r="A98" s="1" t="n">
        <x:v>2023</x:v>
      </x:c>
      <x:c r="B98" s="1" t="str">
        <x:v>Perth-Sydney</x:v>
      </x:c>
      <x:c r="C98" s="1" t="n">
        <x:v>12</x:v>
      </x:c>
      <x:c r="D98" s="1" t="n">
        <x:v>4798</x:v>
      </x:c>
      <x:c r="E98" s="1" t="n">
        <x:v>4660</x:v>
      </x:c>
      <x:c r="F98" s="1" t="n">
        <x:v>138</x:v>
      </x:c>
      <x:c r="G98" s="1" t="n">
        <x:v>3197</x:v>
      </x:c>
      <x:c r="H98" s="1" t="n">
        <x:v>1463</x:v>
      </x:c>
      <x:c r="I98" s="1"/>
    </x:row>
    <x:row r="99" ht="23" customHeight="1">
      <x:c r="A99" s="1" t="n">
        <x:v>2023</x:v>
      </x:c>
      <x:c r="B99" s="1" t="str">
        <x:v>Port Hedland-Perth</x:v>
      </x:c>
      <x:c r="C99" s="1" t="n">
        <x:v>12</x:v>
      </x:c>
      <x:c r="D99" s="1" t="n">
        <x:v>2238</x:v>
      </x:c>
      <x:c r="E99" s="1" t="n">
        <x:v>2170</x:v>
      </x:c>
      <x:c r="F99" s="1" t="n">
        <x:v>68</x:v>
      </x:c>
      <x:c r="G99" s="1" t="n">
        <x:v>1420</x:v>
      </x:c>
      <x:c r="H99" s="1" t="n">
        <x:v>750</x:v>
      </x:c>
      <x:c r="I99" s="1"/>
    </x:row>
    <x:row r="100" ht="23" customHeight="1">
      <x:c r="A100" s="1" t="n">
        <x:v>2023</x:v>
      </x:c>
      <x:c r="B100" s="1" t="str">
        <x:v>Port Lincoln-Adelaide</x:v>
      </x:c>
      <x:c r="C100" s="1" t="n">
        <x:v>12</x:v>
      </x:c>
      <x:c r="D100" s="1" t="n">
        <x:v>3387</x:v>
      </x:c>
      <x:c r="E100" s="1" t="n">
        <x:v>3267</x:v>
      </x:c>
      <x:c r="F100" s="1" t="n">
        <x:v>120</x:v>
      </x:c>
      <x:c r="G100" s="1" t="n">
        <x:v>2723</x:v>
      </x:c>
      <x:c r="H100" s="1" t="n">
        <x:v>544</x:v>
      </x:c>
      <x:c r="I100" s="1"/>
    </x:row>
    <x:row r="101" ht="23" customHeight="1">
      <x:c r="A101" s="1" t="n">
        <x:v>2023</x:v>
      </x:c>
      <x:c r="B101" s="1" t="str">
        <x:v>Port Macquarie-Sydney</x:v>
      </x:c>
      <x:c r="C101" s="1" t="n">
        <x:v>12</x:v>
      </x:c>
      <x:c r="D101" s="1" t="n">
        <x:v>2341</x:v>
      </x:c>
      <x:c r="E101" s="1" t="n">
        <x:v>2270</x:v>
      </x:c>
      <x:c r="F101" s="1" t="n">
        <x:v>71</x:v>
      </x:c>
      <x:c r="G101" s="1" t="n">
        <x:v>1630</x:v>
      </x:c>
      <x:c r="H101" s="1" t="n">
        <x:v>640</x:v>
      </x:c>
      <x:c r="I101" s="1"/>
    </x:row>
    <x:row r="102" ht="23" customHeight="1">
      <x:c r="A102" s="1" t="n">
        <x:v>2023</x:v>
      </x:c>
      <x:c r="B102" s="1" t="str">
        <x:v>Proserpine-Brisbane</x:v>
      </x:c>
      <x:c r="C102" s="1" t="n">
        <x:v>12</x:v>
      </x:c>
      <x:c r="D102" s="1" t="n">
        <x:v>1172</x:v>
      </x:c>
      <x:c r="E102" s="1" t="n">
        <x:v>1147</x:v>
      </x:c>
      <x:c r="F102" s="1" t="n">
        <x:v>25</x:v>
      </x:c>
      <x:c r="G102" s="1" t="n">
        <x:v>738</x:v>
      </x:c>
      <x:c r="H102" s="1" t="n">
        <x:v>409</x:v>
      </x:c>
      <x:c r="I102" s="1"/>
    </x:row>
    <x:row r="103" ht="23" customHeight="1">
      <x:c r="A103" s="1" t="n">
        <x:v>2023</x:v>
      </x:c>
      <x:c r="B103" s="1" t="str">
        <x:v>Rockhampton-Brisbane</x:v>
      </x:c>
      <x:c r="C103" s="1" t="n">
        <x:v>12</x:v>
      </x:c>
      <x:c r="D103" s="1" t="n">
        <x:v>3796</x:v>
      </x:c>
      <x:c r="E103" s="1" t="n">
        <x:v>3668</x:v>
      </x:c>
      <x:c r="F103" s="1" t="n">
        <x:v>128</x:v>
      </x:c>
      <x:c r="G103" s="1" t="n">
        <x:v>2446</x:v>
      </x:c>
      <x:c r="H103" s="1" t="n">
        <x:v>1222</x:v>
      </x:c>
      <x:c r="I103" s="1"/>
    </x:row>
    <x:row r="104" ht="23" customHeight="1">
      <x:c r="A104" s="1" t="n">
        <x:v>2023</x:v>
      </x:c>
      <x:c r="B104" s="1" t="str">
        <x:v>Sunshine Coast-Melbourne</x:v>
      </x:c>
      <x:c r="C104" s="1" t="n">
        <x:v>12</x:v>
      </x:c>
      <x:c r="D104" s="1" t="n">
        <x:v>2186</x:v>
      </x:c>
      <x:c r="E104" s="1" t="n">
        <x:v>2148</x:v>
      </x:c>
      <x:c r="F104" s="1" t="n">
        <x:v>38</x:v>
      </x:c>
      <x:c r="G104" s="1" t="n">
        <x:v>1212</x:v>
      </x:c>
      <x:c r="H104" s="1" t="n">
        <x:v>936</x:v>
      </x:c>
      <x:c r="I104" s="1"/>
    </x:row>
    <x:row r="105" ht="23" customHeight="1">
      <x:c r="A105" s="1" t="n">
        <x:v>2023</x:v>
      </x:c>
      <x:c r="B105" s="1" t="str">
        <x:v>Sunshine Coast-Sydney</x:v>
      </x:c>
      <x:c r="C105" s="1" t="n">
        <x:v>12</x:v>
      </x:c>
      <x:c r="D105" s="1" t="n">
        <x:v>2705</x:v>
      </x:c>
      <x:c r="E105" s="1" t="n">
        <x:v>2635</x:v>
      </x:c>
      <x:c r="F105" s="1" t="n">
        <x:v>70</x:v>
      </x:c>
      <x:c r="G105" s="1" t="n">
        <x:v>1555</x:v>
      </x:c>
      <x:c r="H105" s="1" t="n">
        <x:v>1080</x:v>
      </x:c>
      <x:c r="I105" s="1"/>
    </x:row>
    <x:row r="106" ht="23" customHeight="1">
      <x:c r="A106" s="1" t="n">
        <x:v>2023</x:v>
      </x:c>
      <x:c r="B106" s="1" t="str">
        <x:v>Sydney-Adelaide</x:v>
      </x:c>
      <x:c r="C106" s="1" t="n">
        <x:v>12</x:v>
      </x:c>
      <x:c r="D106" s="1" t="n">
        <x:v>6277</x:v>
      </x:c>
      <x:c r="E106" s="1" t="n">
        <x:v>5964</x:v>
      </x:c>
      <x:c r="F106" s="1" t="n">
        <x:v>313</x:v>
      </x:c>
      <x:c r="G106" s="1" t="n">
        <x:v>3850</x:v>
      </x:c>
      <x:c r="H106" s="1" t="n">
        <x:v>2114</x:v>
      </x:c>
      <x:c r="I106" s="1"/>
    </x:row>
    <x:row r="107" ht="23" customHeight="1">
      <x:c r="A107" s="1" t="n">
        <x:v>2023</x:v>
      </x:c>
      <x:c r="B107" s="1" t="str">
        <x:v>Sydney-Albury</x:v>
      </x:c>
      <x:c r="C107" s="1" t="n">
        <x:v>12</x:v>
      </x:c>
      <x:c r="D107" s="1" t="n">
        <x:v>2436</x:v>
      </x:c>
      <x:c r="E107" s="1" t="n">
        <x:v>2394</x:v>
      </x:c>
      <x:c r="F107" s="1" t="n">
        <x:v>42</x:v>
      </x:c>
      <x:c r="G107" s="1" t="n">
        <x:v>1804</x:v>
      </x:c>
      <x:c r="H107" s="1" t="n">
        <x:v>590</x:v>
      </x:c>
      <x:c r="I107" s="1"/>
    </x:row>
    <x:row r="108" ht="23" customHeight="1">
      <x:c r="A108" s="1" t="n">
        <x:v>2023</x:v>
      </x:c>
      <x:c r="B108" s="1" t="str">
        <x:v>Sydney-Armidale</x:v>
      </x:c>
      <x:c r="C108" s="1" t="n">
        <x:v>10</x:v>
      </x:c>
      <x:c r="D108" s="1" t="n">
        <x:v>1590</x:v>
      </x:c>
      <x:c r="E108" s="1" t="n">
        <x:v>1495</x:v>
      </x:c>
      <x:c r="F108" s="1" t="n">
        <x:v>95</x:v>
      </x:c>
      <x:c r="G108" s="1" t="n">
        <x:v>1220</x:v>
      </x:c>
      <x:c r="H108" s="1" t="n">
        <x:v>275</x:v>
      </x:c>
      <x:c r="I108" s="1"/>
    </x:row>
    <x:row r="109" ht="23" customHeight="1">
      <x:c r="A109" s="1" t="n">
        <x:v>2023</x:v>
      </x:c>
      <x:c r="B109" s="1" t="str">
        <x:v>Sydney-Ballina</x:v>
      </x:c>
      <x:c r="C109" s="1" t="n">
        <x:v>12</x:v>
      </x:c>
      <x:c r="D109" s="1" t="n">
        <x:v>2488</x:v>
      </x:c>
      <x:c r="E109" s="1" t="n">
        <x:v>2428</x:v>
      </x:c>
      <x:c r="F109" s="1" t="n">
        <x:v>60</x:v>
      </x:c>
      <x:c r="G109" s="1" t="n">
        <x:v>1779</x:v>
      </x:c>
      <x:c r="H109" s="1" t="n">
        <x:v>649</x:v>
      </x:c>
      <x:c r="I109" s="1"/>
    </x:row>
    <x:row r="110" ht="23" customHeight="1">
      <x:c r="A110" s="1" t="n">
        <x:v>2023</x:v>
      </x:c>
      <x:c r="B110" s="1" t="str">
        <x:v>Sydney-Brisbane</x:v>
      </x:c>
      <x:c r="C110" s="1" t="n">
        <x:v>12</x:v>
      </x:c>
      <x:c r="D110" s="1" t="n">
        <x:v>15779</x:v>
      </x:c>
      <x:c r="E110" s="1" t="n">
        <x:v>14887</x:v>
      </x:c>
      <x:c r="F110" s="1" t="n">
        <x:v>892</x:v>
      </x:c>
      <x:c r="G110" s="1" t="n">
        <x:v>10201</x:v>
      </x:c>
      <x:c r="H110" s="1" t="n">
        <x:v>4686</x:v>
      </x:c>
      <x:c r="I110" s="1"/>
    </x:row>
    <x:row r="111" ht="23" customHeight="1">
      <x:c r="A111" s="1" t="n">
        <x:v>2023</x:v>
      </x:c>
      <x:c r="B111" s="1" t="str">
        <x:v>Sydney-Cairns</x:v>
      </x:c>
      <x:c r="C111" s="1" t="n">
        <x:v>12</x:v>
      </x:c>
      <x:c r="D111" s="1" t="n">
        <x:v>2673</x:v>
      </x:c>
      <x:c r="E111" s="1" t="n">
        <x:v>2576</x:v>
      </x:c>
      <x:c r="F111" s="1" t="n">
        <x:v>97</x:v>
      </x:c>
      <x:c r="G111" s="1" t="n">
        <x:v>1802</x:v>
      </x:c>
      <x:c r="H111" s="1" t="n">
        <x:v>774</x:v>
      </x:c>
      <x:c r="I111" s="1"/>
    </x:row>
    <x:row r="112" ht="23" customHeight="1">
      <x:c r="A112" s="1" t="n">
        <x:v>2023</x:v>
      </x:c>
      <x:c r="B112" s="1" t="str">
        <x:v>Sydney-Canberra</x:v>
      </x:c>
      <x:c r="C112" s="1" t="n">
        <x:v>12</x:v>
      </x:c>
      <x:c r="D112" s="1" t="n">
        <x:v>8075</x:v>
      </x:c>
      <x:c r="E112" s="1" t="n">
        <x:v>7459</x:v>
      </x:c>
      <x:c r="F112" s="1" t="n">
        <x:v>616</x:v>
      </x:c>
      <x:c r="G112" s="1" t="n">
        <x:v>5724</x:v>
      </x:c>
      <x:c r="H112" s="1" t="n">
        <x:v>1735</x:v>
      </x:c>
      <x:c r="I112" s="1"/>
    </x:row>
    <x:row r="113" ht="23" customHeight="1">
      <x:c r="A113" s="1" t="n">
        <x:v>2023</x:v>
      </x:c>
      <x:c r="B113" s="1" t="str">
        <x:v>Sydney-Coffs Harbour</x:v>
      </x:c>
      <x:c r="C113" s="1" t="n">
        <x:v>12</x:v>
      </x:c>
      <x:c r="D113" s="1" t="n">
        <x:v>2586</x:v>
      </x:c>
      <x:c r="E113" s="1" t="n">
        <x:v>2548</x:v>
      </x:c>
      <x:c r="F113" s="1" t="n">
        <x:v>38</x:v>
      </x:c>
      <x:c r="G113" s="1" t="n">
        <x:v>1949</x:v>
      </x:c>
      <x:c r="H113" s="1" t="n">
        <x:v>599</x:v>
      </x:c>
      <x:c r="I113" s="1"/>
    </x:row>
    <x:row r="114" ht="23" customHeight="1">
      <x:c r="A114" s="1" t="n">
        <x:v>2023</x:v>
      </x:c>
      <x:c r="B114" s="1" t="str">
        <x:v>Sydney-Darwin</x:v>
      </x:c>
      <x:c r="C114" s="1" t="n">
        <x:v>1</x:v>
      </x:c>
      <x:c r="D114" s="1" t="n">
        <x:v>62</x:v>
      </x:c>
      <x:c r="E114" s="1" t="n">
        <x:v>62</x:v>
      </x:c>
      <x:c r="F114" s="1" t="n">
        <x:v>0</x:v>
      </x:c>
      <x:c r="G114" s="1" t="n">
        <x:v>40</x:v>
      </x:c>
      <x:c r="H114" s="1" t="n">
        <x:v>22</x:v>
      </x:c>
      <x:c r="I114" s="1"/>
    </x:row>
    <x:row r="115" ht="23" customHeight="1">
      <x:c r="A115" s="1" t="n">
        <x:v>2023</x:v>
      </x:c>
      <x:c r="B115" s="1" t="str">
        <x:v>Sydney-Dubbo</x:v>
      </x:c>
      <x:c r="C115" s="1" t="n">
        <x:v>12</x:v>
      </x:c>
      <x:c r="D115" s="1" t="n">
        <x:v>2732</x:v>
      </x:c>
      <x:c r="E115" s="1" t="n">
        <x:v>2689</x:v>
      </x:c>
      <x:c r="F115" s="1" t="n">
        <x:v>43</x:v>
      </x:c>
      <x:c r="G115" s="1" t="n">
        <x:v>2046</x:v>
      </x:c>
      <x:c r="H115" s="1" t="n">
        <x:v>643</x:v>
      </x:c>
      <x:c r="I115" s="1"/>
    </x:row>
    <x:row r="116" ht="23" customHeight="1">
      <x:c r="A116" s="1" t="n">
        <x:v>2023</x:v>
      </x:c>
      <x:c r="B116" s="1" t="str">
        <x:v>Sydney-Gold Coast</x:v>
      </x:c>
      <x:c r="C116" s="1" t="n">
        <x:v>12</x:v>
      </x:c>
      <x:c r="D116" s="1" t="n">
        <x:v>8313</x:v>
      </x:c>
      <x:c r="E116" s="1" t="n">
        <x:v>8004</x:v>
      </x:c>
      <x:c r="F116" s="1" t="n">
        <x:v>309</x:v>
      </x:c>
      <x:c r="G116" s="1" t="n">
        <x:v>5444</x:v>
      </x:c>
      <x:c r="H116" s="1" t="n">
        <x:v>2560</x:v>
      </x:c>
      <x:c r="I116" s="1"/>
    </x:row>
    <x:row r="117" ht="23" customHeight="1">
      <x:c r="A117" s="1" t="n">
        <x:v>2023</x:v>
      </x:c>
      <x:c r="B117" s="1" t="str">
        <x:v>Sydney-Hamilton Island</x:v>
      </x:c>
      <x:c r="C117" s="1" t="n">
        <x:v>12</x:v>
      </x:c>
      <x:c r="D117" s="1" t="n">
        <x:v>987</x:v>
      </x:c>
      <x:c r="E117" s="1" t="n">
        <x:v>982</x:v>
      </x:c>
      <x:c r="F117" s="1" t="n">
        <x:v>5</x:v>
      </x:c>
      <x:c r="G117" s="1" t="n">
        <x:v>653</x:v>
      </x:c>
      <x:c r="H117" s="1" t="n">
        <x:v>329</x:v>
      </x:c>
      <x:c r="I117" s="1"/>
    </x:row>
    <x:row r="118" ht="23" customHeight="1">
      <x:c r="A118" s="1" t="n">
        <x:v>2023</x:v>
      </x:c>
      <x:c r="B118" s="1" t="str">
        <x:v>Sydney-Hobart</x:v>
      </x:c>
      <x:c r="C118" s="1" t="n">
        <x:v>12</x:v>
      </x:c>
      <x:c r="D118" s="1" t="n">
        <x:v>2918</x:v>
      </x:c>
      <x:c r="E118" s="1" t="n">
        <x:v>2844</x:v>
      </x:c>
      <x:c r="F118" s="1" t="n">
        <x:v>74</x:v>
      </x:c>
      <x:c r="G118" s="1" t="n">
        <x:v>2083</x:v>
      </x:c>
      <x:c r="H118" s="1" t="n">
        <x:v>761</x:v>
      </x:c>
      <x:c r="I118" s="1"/>
    </x:row>
    <x:row r="119" ht="23" customHeight="1">
      <x:c r="A119" s="1" t="n">
        <x:v>2023</x:v>
      </x:c>
      <x:c r="B119" s="1" t="str">
        <x:v>Sydney-Launceston</x:v>
      </x:c>
      <x:c r="C119" s="1" t="n">
        <x:v>12</x:v>
      </x:c>
      <x:c r="D119" s="1" t="n">
        <x:v>1298</x:v>
      </x:c>
      <x:c r="E119" s="1" t="n">
        <x:v>1279</x:v>
      </x:c>
      <x:c r="F119" s="1" t="n">
        <x:v>19</x:v>
      </x:c>
      <x:c r="G119" s="1" t="n">
        <x:v>883</x:v>
      </x:c>
      <x:c r="H119" s="1" t="n">
        <x:v>396</x:v>
      </x:c>
      <x:c r="I119" s="1"/>
    </x:row>
    <x:row r="120" ht="23" customHeight="1">
      <x:c r="A120" s="1" t="n">
        <x:v>2023</x:v>
      </x:c>
      <x:c r="B120" s="1" t="str">
        <x:v>Sydney-Melbourne</x:v>
      </x:c>
      <x:c r="C120" s="1" t="n">
        <x:v>12</x:v>
      </x:c>
      <x:c r="D120" s="1" t="n">
        <x:v>26502</x:v>
      </x:c>
      <x:c r="E120" s="1" t="n">
        <x:v>24159</x:v>
      </x:c>
      <x:c r="F120" s="1" t="n">
        <x:v>2343</x:v>
      </x:c>
      <x:c r="G120" s="1" t="n">
        <x:v>16105</x:v>
      </x:c>
      <x:c r="H120" s="1" t="n">
        <x:v>8054</x:v>
      </x:c>
      <x:c r="I120" s="1"/>
    </x:row>
    <x:row r="121" ht="23" customHeight="1">
      <x:c r="A121" s="1" t="n">
        <x:v>2023</x:v>
      </x:c>
      <x:c r="B121" s="1" t="str">
        <x:v>Sydney-Perth</x:v>
      </x:c>
      <x:c r="C121" s="1" t="n">
        <x:v>12</x:v>
      </x:c>
      <x:c r="D121" s="1" t="n">
        <x:v>4910</x:v>
      </x:c>
      <x:c r="E121" s="1" t="n">
        <x:v>4780</x:v>
      </x:c>
      <x:c r="F121" s="1" t="n">
        <x:v>130</x:v>
      </x:c>
      <x:c r="G121" s="1" t="n">
        <x:v>2869</x:v>
      </x:c>
      <x:c r="H121" s="1" t="n">
        <x:v>1911</x:v>
      </x:c>
      <x:c r="I121" s="1"/>
    </x:row>
    <x:row r="122" ht="23" customHeight="1">
      <x:c r="A122" s="1" t="n">
        <x:v>2023</x:v>
      </x:c>
      <x:c r="B122" s="1" t="str">
        <x:v>Sydney-Port Macquarie</x:v>
      </x:c>
      <x:c r="C122" s="1" t="n">
        <x:v>12</x:v>
      </x:c>
      <x:c r="D122" s="1" t="n">
        <x:v>2357</x:v>
      </x:c>
      <x:c r="E122" s="1" t="n">
        <x:v>2292</x:v>
      </x:c>
      <x:c r="F122" s="1" t="n">
        <x:v>65</x:v>
      </x:c>
      <x:c r="G122" s="1" t="n">
        <x:v>1763</x:v>
      </x:c>
      <x:c r="H122" s="1" t="n">
        <x:v>529</x:v>
      </x:c>
      <x:c r="I122" s="1"/>
    </x:row>
    <x:row r="123" ht="23" customHeight="1">
      <x:c r="A123" s="1" t="n">
        <x:v>2023</x:v>
      </x:c>
      <x:c r="B123" s="1" t="str">
        <x:v>Sydney-Sunshine Coast</x:v>
      </x:c>
      <x:c r="C123" s="1" t="n">
        <x:v>12</x:v>
      </x:c>
      <x:c r="D123" s="1" t="n">
        <x:v>2701</x:v>
      </x:c>
      <x:c r="E123" s="1" t="n">
        <x:v>2645</x:v>
      </x:c>
      <x:c r="F123" s="1" t="n">
        <x:v>56</x:v>
      </x:c>
      <x:c r="G123" s="1" t="n">
        <x:v>1827</x:v>
      </x:c>
      <x:c r="H123" s="1" t="n">
        <x:v>818</x:v>
      </x:c>
      <x:c r="I123" s="1"/>
    </x:row>
    <x:row r="124" ht="23" customHeight="1">
      <x:c r="A124" s="1" t="n">
        <x:v>2023</x:v>
      </x:c>
      <x:c r="B124" s="1" t="str">
        <x:v>Sydney-Wagga Wagga</x:v>
      </x:c>
      <x:c r="C124" s="1" t="n">
        <x:v>12</x:v>
      </x:c>
      <x:c r="D124" s="1" t="n">
        <x:v>2404</x:v>
      </x:c>
      <x:c r="E124" s="1" t="n">
        <x:v>2344</x:v>
      </x:c>
      <x:c r="F124" s="1" t="n">
        <x:v>60</x:v>
      </x:c>
      <x:c r="G124" s="1" t="n">
        <x:v>1791</x:v>
      </x:c>
      <x:c r="H124" s="1" t="n">
        <x:v>553</x:v>
      </x:c>
      <x:c r="I124" s="1"/>
    </x:row>
    <x:row r="125" ht="23" customHeight="1">
      <x:c r="A125" s="1" t="n">
        <x:v>2023</x:v>
      </x:c>
      <x:c r="B125" s="1" t="str">
        <x:v>Townsville-Brisbane</x:v>
      </x:c>
      <x:c r="C125" s="1" t="n">
        <x:v>12</x:v>
      </x:c>
      <x:c r="D125" s="1" t="n">
        <x:v>3835</x:v>
      </x:c>
      <x:c r="E125" s="1" t="n">
        <x:v>3783</x:v>
      </x:c>
      <x:c r="F125" s="1" t="n">
        <x:v>52</x:v>
      </x:c>
      <x:c r="G125" s="1" t="n">
        <x:v>2363</x:v>
      </x:c>
      <x:c r="H125" s="1" t="n">
        <x:v>1420</x:v>
      </x:c>
      <x:c r="I125" s="1"/>
    </x:row>
    <x:row r="126" ht="23" customHeight="1">
      <x:c r="A126" s="1" t="n">
        <x:v>2023</x:v>
      </x:c>
      <x:c r="B126" s="1" t="str">
        <x:v>Townsville-Cairns</x:v>
      </x:c>
      <x:c r="C126" s="1" t="n">
        <x:v>12</x:v>
      </x:c>
      <x:c r="D126" s="1" t="n">
        <x:v>1934</x:v>
      </x:c>
      <x:c r="E126" s="1" t="n">
        <x:v>1829</x:v>
      </x:c>
      <x:c r="F126" s="1" t="n">
        <x:v>105</x:v>
      </x:c>
      <x:c r="G126" s="1" t="n">
        <x:v>1602</x:v>
      </x:c>
      <x:c r="H126" s="1" t="n">
        <x:v>227</x:v>
      </x:c>
      <x:c r="I126" s="1"/>
    </x:row>
    <x:row r="127" ht="23" customHeight="1">
      <x:c r="A127" s="1" t="n">
        <x:v>2023</x:v>
      </x:c>
      <x:c r="B127" s="1" t="str">
        <x:v>Wagga Wagga-Sydney</x:v>
      </x:c>
      <x:c r="C127" s="1" t="n">
        <x:v>12</x:v>
      </x:c>
      <x:c r="D127" s="1" t="n">
        <x:v>2398</x:v>
      </x:c>
      <x:c r="E127" s="1" t="n">
        <x:v>2325</x:v>
      </x:c>
      <x:c r="F127" s="1" t="n">
        <x:v>73</x:v>
      </x:c>
      <x:c r="G127" s="1" t="n">
        <x:v>1802</x:v>
      </x:c>
      <x:c r="H127" s="1" t="n">
        <x:v>523</x:v>
      </x:c>
      <x:c r="I127" s="1"/>
    </x:row>
    <x:row r="128" ht="23" customHeight="1">
      <x:c r="A128" s="1" t="n">
        <x:v>2024</x:v>
      </x:c>
      <x:c r="B128" s="1" t="str">
        <x:v>Adelaide-Alice Springs</x:v>
      </x:c>
      <x:c r="C128" s="1" t="n">
        <x:v>12</x:v>
      </x:c>
      <x:c r="D128" s="1" t="n">
        <x:v>706</x:v>
      </x:c>
      <x:c r="E128" s="1" t="n">
        <x:v>704</x:v>
      </x:c>
      <x:c r="F128" s="1" t="n">
        <x:v>2</x:v>
      </x:c>
      <x:c r="G128" s="1" t="n">
        <x:v>588</x:v>
      </x:c>
      <x:c r="H128" s="1" t="n">
        <x:v>116</x:v>
      </x:c>
      <x:c r="I128" s="1"/>
    </x:row>
    <x:row r="129" ht="23" customHeight="1">
      <x:c r="A129" s="1" t="n">
        <x:v>2024</x:v>
      </x:c>
      <x:c r="B129" s="1" t="str">
        <x:v>Adelaide-Brisbane</x:v>
      </x:c>
      <x:c r="C129" s="1" t="n">
        <x:v>12</x:v>
      </x:c>
      <x:c r="D129" s="1" t="n">
        <x:v>3978</x:v>
      </x:c>
      <x:c r="E129" s="1" t="n">
        <x:v>3924</x:v>
      </x:c>
      <x:c r="F129" s="1" t="n">
        <x:v>54</x:v>
      </x:c>
      <x:c r="G129" s="1" t="n">
        <x:v>3212</x:v>
      </x:c>
      <x:c r="H129" s="1" t="n">
        <x:v>712</x:v>
      </x:c>
      <x:c r="I129" s="1"/>
    </x:row>
    <x:row r="130" ht="23" customHeight="1">
      <x:c r="A130" s="1" t="n">
        <x:v>2024</x:v>
      </x:c>
      <x:c r="B130" s="1" t="str">
        <x:v>Adelaide-Canberra</x:v>
      </x:c>
      <x:c r="C130" s="1" t="n">
        <x:v>12</x:v>
      </x:c>
      <x:c r="D130" s="1" t="n">
        <x:v>1212</x:v>
      </x:c>
      <x:c r="E130" s="1" t="n">
        <x:v>1200</x:v>
      </x:c>
      <x:c r="F130" s="1" t="n">
        <x:v>12</x:v>
      </x:c>
      <x:c r="G130" s="1" t="n">
        <x:v>1003</x:v>
      </x:c>
      <x:c r="H130" s="1" t="n">
        <x:v>197</x:v>
      </x:c>
      <x:c r="I130" s="1"/>
    </x:row>
    <x:row r="131" ht="23" customHeight="1">
      <x:c r="A131" s="1" t="n">
        <x:v>2024</x:v>
      </x:c>
      <x:c r="B131" s="1" t="str">
        <x:v>Adelaide-Gold Coast</x:v>
      </x:c>
      <x:c r="C131" s="1" t="n">
        <x:v>12</x:v>
      </x:c>
      <x:c r="D131" s="1" t="n">
        <x:v>803</x:v>
      </x:c>
      <x:c r="E131" s="1" t="n">
        <x:v>800</x:v>
      </x:c>
      <x:c r="F131" s="1" t="n">
        <x:v>3</x:v>
      </x:c>
      <x:c r="G131" s="1" t="n">
        <x:v>665</x:v>
      </x:c>
      <x:c r="H131" s="1" t="n">
        <x:v>135</x:v>
      </x:c>
      <x:c r="I131" s="1"/>
    </x:row>
    <x:row r="132" ht="23" customHeight="1">
      <x:c r="A132" s="1" t="n">
        <x:v>2024</x:v>
      </x:c>
      <x:c r="B132" s="1" t="str">
        <x:v>Adelaide-Melbourne</x:v>
      </x:c>
      <x:c r="C132" s="1" t="n">
        <x:v>12</x:v>
      </x:c>
      <x:c r="D132" s="1" t="n">
        <x:v>8029</x:v>
      </x:c>
      <x:c r="E132" s="1" t="n">
        <x:v>7906</x:v>
      </x:c>
      <x:c r="F132" s="1" t="n">
        <x:v>123</x:v>
      </x:c>
      <x:c r="G132" s="1" t="n">
        <x:v>5883</x:v>
      </x:c>
      <x:c r="H132" s="1" t="n">
        <x:v>2023</x:v>
      </x:c>
      <x:c r="I132" s="1"/>
    </x:row>
    <x:row r="133" ht="23" customHeight="1">
      <x:c r="A133" s="1" t="n">
        <x:v>2024</x:v>
      </x:c>
      <x:c r="B133" s="1" t="str">
        <x:v>Adelaide-Perth</x:v>
      </x:c>
      <x:c r="C133" s="1" t="n">
        <x:v>12</x:v>
      </x:c>
      <x:c r="D133" s="1" t="n">
        <x:v>2417</x:v>
      </x:c>
      <x:c r="E133" s="1" t="n">
        <x:v>2350</x:v>
      </x:c>
      <x:c r="F133" s="1" t="n">
        <x:v>67</x:v>
      </x:c>
      <x:c r="G133" s="1" t="n">
        <x:v>1622</x:v>
      </x:c>
      <x:c r="H133" s="1" t="n">
        <x:v>728</x:v>
      </x:c>
      <x:c r="I133" s="1"/>
    </x:row>
    <x:row r="134" ht="23" customHeight="1">
      <x:c r="A134" s="1" t="n">
        <x:v>2024</x:v>
      </x:c>
      <x:c r="B134" s="1" t="str">
        <x:v>Adelaide-Port Lincoln</x:v>
      </x:c>
      <x:c r="C134" s="1" t="n">
        <x:v>12</x:v>
      </x:c>
      <x:c r="D134" s="1" t="n">
        <x:v>3388</x:v>
      </x:c>
      <x:c r="E134" s="1" t="n">
        <x:v>3292</x:v>
      </x:c>
      <x:c r="F134" s="1" t="n">
        <x:v>96</x:v>
      </x:c>
      <x:c r="G134" s="1" t="n">
        <x:v>2839</x:v>
      </x:c>
      <x:c r="H134" s="1" t="n">
        <x:v>453</x:v>
      </x:c>
      <x:c r="I134" s="1"/>
    </x:row>
    <x:row r="135" ht="23" customHeight="1">
      <x:c r="A135" s="1" t="n">
        <x:v>2024</x:v>
      </x:c>
      <x:c r="B135" s="1" t="str">
        <x:v>Adelaide-Sydney</x:v>
      </x:c>
      <x:c r="C135" s="1" t="n">
        <x:v>12</x:v>
      </x:c>
      <x:c r="D135" s="1" t="n">
        <x:v>6801</x:v>
      </x:c>
      <x:c r="E135" s="1" t="n">
        <x:v>6575</x:v>
      </x:c>
      <x:c r="F135" s="1" t="n">
        <x:v>226</x:v>
      </x:c>
      <x:c r="G135" s="1" t="n">
        <x:v>4964</x:v>
      </x:c>
      <x:c r="H135" s="1" t="n">
        <x:v>1611</x:v>
      </x:c>
      <x:c r="I135" s="1"/>
    </x:row>
    <x:row r="136" ht="23" customHeight="1">
      <x:c r="A136" s="1" t="n">
        <x:v>2024</x:v>
      </x:c>
      <x:c r="B136" s="1" t="str">
        <x:v>Albury-Sydney</x:v>
      </x:c>
      <x:c r="C136" s="1" t="n">
        <x:v>12</x:v>
      </x:c>
      <x:c r="D136" s="1" t="n">
        <x:v>2138</x:v>
      </x:c>
      <x:c r="E136" s="1" t="n">
        <x:v>2111</x:v>
      </x:c>
      <x:c r="F136" s="1" t="n">
        <x:v>27</x:v>
      </x:c>
      <x:c r="G136" s="1" t="n">
        <x:v>1553</x:v>
      </x:c>
      <x:c r="H136" s="1" t="n">
        <x:v>558</x:v>
      </x:c>
      <x:c r="I136" s="1"/>
    </x:row>
    <x:row r="137" ht="23" customHeight="1">
      <x:c r="A137" s="1" t="n">
        <x:v>2024</x:v>
      </x:c>
      <x:c r="B137" s="1" t="str">
        <x:v>Alice Springs-Adelaide</x:v>
      </x:c>
      <x:c r="C137" s="1" t="n">
        <x:v>12</x:v>
      </x:c>
      <x:c r="D137" s="1" t="n">
        <x:v>706</x:v>
      </x:c>
      <x:c r="E137" s="1" t="n">
        <x:v>702</x:v>
      </x:c>
      <x:c r="F137" s="1" t="n">
        <x:v>4</x:v>
      </x:c>
      <x:c r="G137" s="1" t="n">
        <x:v>543</x:v>
      </x:c>
      <x:c r="H137" s="1" t="n">
        <x:v>159</x:v>
      </x:c>
      <x:c r="I137" s="1"/>
    </x:row>
    <x:row r="138" ht="23" customHeight="1">
      <x:c r="A138" s="1" t="n">
        <x:v>2024</x:v>
      </x:c>
      <x:c r="B138" s="1" t="str">
        <x:v>Ballina-Sydney</x:v>
      </x:c>
      <x:c r="C138" s="1" t="n">
        <x:v>12</x:v>
      </x:c>
      <x:c r="D138" s="1" t="n">
        <x:v>2108</x:v>
      </x:c>
      <x:c r="E138" s="1" t="n">
        <x:v>2066</x:v>
      </x:c>
      <x:c r="F138" s="1" t="n">
        <x:v>42</x:v>
      </x:c>
      <x:c r="G138" s="1" t="n">
        <x:v>1619</x:v>
      </x:c>
      <x:c r="H138" s="1" t="n">
        <x:v>447</x:v>
      </x:c>
      <x:c r="I138" s="1"/>
    </x:row>
    <x:row r="139" ht="23" customHeight="1">
      <x:c r="A139" s="1" t="n">
        <x:v>2024</x:v>
      </x:c>
      <x:c r="B139" s="1" t="str">
        <x:v>Brisbane-Adelaide</x:v>
      </x:c>
      <x:c r="C139" s="1" t="n">
        <x:v>12</x:v>
      </x:c>
      <x:c r="D139" s="1" t="n">
        <x:v>3982</x:v>
      </x:c>
      <x:c r="E139" s="1" t="n">
        <x:v>3923</x:v>
      </x:c>
      <x:c r="F139" s="1" t="n">
        <x:v>59</x:v>
      </x:c>
      <x:c r="G139" s="1" t="n">
        <x:v>3081</x:v>
      </x:c>
      <x:c r="H139" s="1" t="n">
        <x:v>842</x:v>
      </x:c>
      <x:c r="I139" s="1"/>
    </x:row>
    <x:row r="140" ht="23" customHeight="1">
      <x:c r="A140" s="1" t="n">
        <x:v>2024</x:v>
      </x:c>
      <x:c r="B140" s="1" t="str">
        <x:v>Brisbane-Cairns</x:v>
      </x:c>
      <x:c r="C140" s="1" t="n">
        <x:v>12</x:v>
      </x:c>
      <x:c r="D140" s="1" t="n">
        <x:v>4998</x:v>
      </x:c>
      <x:c r="E140" s="1" t="n">
        <x:v>4940</x:v>
      </x:c>
      <x:c r="F140" s="1" t="n">
        <x:v>58</x:v>
      </x:c>
      <x:c r="G140" s="1" t="n">
        <x:v>3463</x:v>
      </x:c>
      <x:c r="H140" s="1" t="n">
        <x:v>1477</x:v>
      </x:c>
      <x:c r="I140" s="1"/>
    </x:row>
    <x:row r="141" ht="23" customHeight="1">
      <x:c r="A141" s="1" t="n">
        <x:v>2024</x:v>
      </x:c>
      <x:c r="B141" s="1" t="str">
        <x:v>Brisbane-Canberra</x:v>
      </x:c>
      <x:c r="C141" s="1" t="n">
        <x:v>12</x:v>
      </x:c>
      <x:c r="D141" s="1" t="n">
        <x:v>3417</x:v>
      </x:c>
      <x:c r="E141" s="1" t="n">
        <x:v>3366</x:v>
      </x:c>
      <x:c r="F141" s="1" t="n">
        <x:v>51</x:v>
      </x:c>
      <x:c r="G141" s="1" t="n">
        <x:v>2528</x:v>
      </x:c>
      <x:c r="H141" s="1" t="n">
        <x:v>838</x:v>
      </x:c>
      <x:c r="I141" s="1"/>
    </x:row>
    <x:row r="142" ht="23" customHeight="1">
      <x:c r="A142" s="1" t="n">
        <x:v>2024</x:v>
      </x:c>
      <x:c r="B142" s="1" t="str">
        <x:v>Brisbane-Darwin</x:v>
      </x:c>
      <x:c r="C142" s="1" t="n">
        <x:v>12</x:v>
      </x:c>
      <x:c r="D142" s="1" t="n">
        <x:v>1291</x:v>
      </x:c>
      <x:c r="E142" s="1" t="n">
        <x:v>1278</x:v>
      </x:c>
      <x:c r="F142" s="1" t="n">
        <x:v>13</x:v>
      </x:c>
      <x:c r="G142" s="1" t="n">
        <x:v>905</x:v>
      </x:c>
      <x:c r="H142" s="1" t="n">
        <x:v>373</x:v>
      </x:c>
      <x:c r="I142" s="1"/>
    </x:row>
    <x:row r="143" ht="23" customHeight="1">
      <x:c r="A143" s="1" t="n">
        <x:v>2024</x:v>
      </x:c>
      <x:c r="B143" s="1" t="str">
        <x:v>Brisbane-Emerald</x:v>
      </x:c>
      <x:c r="C143" s="1" t="n">
        <x:v>12</x:v>
      </x:c>
      <x:c r="D143" s="1" t="n">
        <x:v>1804</x:v>
      </x:c>
      <x:c r="E143" s="1" t="n">
        <x:v>1742</x:v>
      </x:c>
      <x:c r="F143" s="1" t="n">
        <x:v>62</x:v>
      </x:c>
      <x:c r="G143" s="1" t="n">
        <x:v>1399</x:v>
      </x:c>
      <x:c r="H143" s="1" t="n">
        <x:v>343</x:v>
      </x:c>
      <x:c r="I143" s="1"/>
    </x:row>
    <x:row r="144" ht="23" customHeight="1">
      <x:c r="A144" s="1" t="n">
        <x:v>2024</x:v>
      </x:c>
      <x:c r="B144" s="1" t="str">
        <x:v>Brisbane-Gladstone</x:v>
      </x:c>
      <x:c r="C144" s="1" t="n">
        <x:v>12</x:v>
      </x:c>
      <x:c r="D144" s="1" t="n">
        <x:v>1995</x:v>
      </x:c>
      <x:c r="E144" s="1" t="n">
        <x:v>1938</x:v>
      </x:c>
      <x:c r="F144" s="1" t="n">
        <x:v>57</x:v>
      </x:c>
      <x:c r="G144" s="1" t="n">
        <x:v>1345</x:v>
      </x:c>
      <x:c r="H144" s="1" t="n">
        <x:v>593</x:v>
      </x:c>
      <x:c r="I144" s="1"/>
    </x:row>
    <x:row r="145" ht="23" customHeight="1">
      <x:c r="A145" s="1" t="n">
        <x:v>2024</x:v>
      </x:c>
      <x:c r="B145" s="1" t="str">
        <x:v>Brisbane-Hamilton Island</x:v>
      </x:c>
      <x:c r="C145" s="1" t="n">
        <x:v>12</x:v>
      </x:c>
      <x:c r="D145" s="1" t="n">
        <x:v>753</x:v>
      </x:c>
      <x:c r="E145" s="1" t="n">
        <x:v>746</x:v>
      </x:c>
      <x:c r="F145" s="1" t="n">
        <x:v>7</x:v>
      </x:c>
      <x:c r="G145" s="1" t="n">
        <x:v>560</x:v>
      </x:c>
      <x:c r="H145" s="1" t="n">
        <x:v>186</x:v>
      </x:c>
      <x:c r="I145" s="1"/>
    </x:row>
    <x:row r="146" ht="23" customHeight="1">
      <x:c r="A146" s="1" t="n">
        <x:v>2024</x:v>
      </x:c>
      <x:c r="B146" s="1" t="str">
        <x:v>Brisbane-Hobart</x:v>
      </x:c>
      <x:c r="C146" s="1" t="n">
        <x:v>12</x:v>
      </x:c>
      <x:c r="D146" s="1" t="n">
        <x:v>1128</x:v>
      </x:c>
      <x:c r="E146" s="1" t="n">
        <x:v>1118</x:v>
      </x:c>
      <x:c r="F146" s="1" t="n">
        <x:v>10</x:v>
      </x:c>
      <x:c r="G146" s="1" t="n">
        <x:v>879</x:v>
      </x:c>
      <x:c r="H146" s="1" t="n">
        <x:v>239</x:v>
      </x:c>
      <x:c r="I146" s="1"/>
    </x:row>
    <x:row r="147" ht="23" customHeight="1">
      <x:c r="A147" s="1" t="n">
        <x:v>2024</x:v>
      </x:c>
      <x:c r="B147" s="1" t="str">
        <x:v>Brisbane-Launceston</x:v>
      </x:c>
      <x:c r="C147" s="1" t="n">
        <x:v>12</x:v>
      </x:c>
      <x:c r="D147" s="1" t="n">
        <x:v>523</x:v>
      </x:c>
      <x:c r="E147" s="1" t="n">
        <x:v>520</x:v>
      </x:c>
      <x:c r="F147" s="1" t="n">
        <x:v>3</x:v>
      </x:c>
      <x:c r="G147" s="1" t="n">
        <x:v>365</x:v>
      </x:c>
      <x:c r="H147" s="1" t="n">
        <x:v>155</x:v>
      </x:c>
      <x:c r="I147" s="1"/>
    </x:row>
    <x:row r="148" ht="23" customHeight="1">
      <x:c r="A148" s="1" t="n">
        <x:v>2024</x:v>
      </x:c>
      <x:c r="B148" s="1" t="str">
        <x:v>Brisbane-Mackay</x:v>
      </x:c>
      <x:c r="C148" s="1" t="n">
        <x:v>12</x:v>
      </x:c>
      <x:c r="D148" s="1" t="n">
        <x:v>3527</x:v>
      </x:c>
      <x:c r="E148" s="1" t="n">
        <x:v>3491</x:v>
      </x:c>
      <x:c r="F148" s="1" t="n">
        <x:v>36</x:v>
      </x:c>
      <x:c r="G148" s="1" t="n">
        <x:v>2361</x:v>
      </x:c>
      <x:c r="H148" s="1" t="n">
        <x:v>1130</x:v>
      </x:c>
      <x:c r="I148" s="1"/>
    </x:row>
    <x:row r="149" ht="23" customHeight="1">
      <x:c r="A149" s="1" t="n">
        <x:v>2024</x:v>
      </x:c>
      <x:c r="B149" s="1" t="str">
        <x:v>Brisbane-Melbourne</x:v>
      </x:c>
      <x:c r="C149" s="1" t="n">
        <x:v>12</x:v>
      </x:c>
      <x:c r="D149" s="1" t="n">
        <x:v>11847</x:v>
      </x:c>
      <x:c r="E149" s="1" t="n">
        <x:v>11509</x:v>
      </x:c>
      <x:c r="F149" s="1" t="n">
        <x:v>338</x:v>
      </x:c>
      <x:c r="G149" s="1" t="n">
        <x:v>7924</x:v>
      </x:c>
      <x:c r="H149" s="1" t="n">
        <x:v>3585</x:v>
      </x:c>
      <x:c r="I149" s="1"/>
    </x:row>
    <x:row r="150" ht="23" customHeight="1">
      <x:c r="A150" s="1" t="n">
        <x:v>2024</x:v>
      </x:c>
      <x:c r="B150" s="1" t="str">
        <x:v>Brisbane-Mount Isa</x:v>
      </x:c>
      <x:c r="C150" s="1" t="n">
        <x:v>12</x:v>
      </x:c>
      <x:c r="D150" s="1" t="n">
        <x:v>838</x:v>
      </x:c>
      <x:c r="E150" s="1" t="n">
        <x:v>833</x:v>
      </x:c>
      <x:c r="F150" s="1" t="n">
        <x:v>5</x:v>
      </x:c>
      <x:c r="G150" s="1" t="n">
        <x:v>652</x:v>
      </x:c>
      <x:c r="H150" s="1" t="n">
        <x:v>181</x:v>
      </x:c>
      <x:c r="I150" s="1"/>
    </x:row>
    <x:row r="151" ht="23" customHeight="1">
      <x:c r="A151" s="1" t="n">
        <x:v>2024</x:v>
      </x:c>
      <x:c r="B151" s="1" t="str">
        <x:v>Brisbane-Newcastle</x:v>
      </x:c>
      <x:c r="C151" s="1" t="n">
        <x:v>12</x:v>
      </x:c>
      <x:c r="D151" s="1" t="n">
        <x:v>2703</x:v>
      </x:c>
      <x:c r="E151" s="1" t="n">
        <x:v>2669</x:v>
      </x:c>
      <x:c r="F151" s="1" t="n">
        <x:v>34</x:v>
      </x:c>
      <x:c r="G151" s="1" t="n">
        <x:v>1795</x:v>
      </x:c>
      <x:c r="H151" s="1" t="n">
        <x:v>874</x:v>
      </x:c>
      <x:c r="I151" s="1"/>
    </x:row>
    <x:row r="152" ht="23" customHeight="1">
      <x:c r="A152" s="1" t="n">
        <x:v>2024</x:v>
      </x:c>
      <x:c r="B152" s="1" t="str">
        <x:v>Brisbane-Perth</x:v>
      </x:c>
      <x:c r="C152" s="1" t="n">
        <x:v>12</x:v>
      </x:c>
      <x:c r="D152" s="1" t="n">
        <x:v>3657</x:v>
      </x:c>
      <x:c r="E152" s="1" t="n">
        <x:v>3625</x:v>
      </x:c>
      <x:c r="F152" s="1" t="n">
        <x:v>32</x:v>
      </x:c>
      <x:c r="G152" s="1" t="n">
        <x:v>2730</x:v>
      </x:c>
      <x:c r="H152" s="1" t="n">
        <x:v>895</x:v>
      </x:c>
      <x:c r="I152" s="1"/>
    </x:row>
    <x:row r="153" ht="23" customHeight="1">
      <x:c r="A153" s="1" t="n">
        <x:v>2024</x:v>
      </x:c>
      <x:c r="B153" s="1" t="str">
        <x:v>Brisbane-Proserpine</x:v>
      </x:c>
      <x:c r="C153" s="1" t="n">
        <x:v>12</x:v>
      </x:c>
      <x:c r="D153" s="1" t="n">
        <x:v>1019</x:v>
      </x:c>
      <x:c r="E153" s="1" t="n">
        <x:v>1005</x:v>
      </x:c>
      <x:c r="F153" s="1" t="n">
        <x:v>14</x:v>
      </x:c>
      <x:c r="G153" s="1" t="n">
        <x:v>741</x:v>
      </x:c>
      <x:c r="H153" s="1" t="n">
        <x:v>264</x:v>
      </x:c>
      <x:c r="I153" s="1"/>
    </x:row>
    <x:row r="154" ht="23" customHeight="1">
      <x:c r="A154" s="1" t="n">
        <x:v>2024</x:v>
      </x:c>
      <x:c r="B154" s="1" t="str">
        <x:v>Brisbane-Rockhampton</x:v>
      </x:c>
      <x:c r="C154" s="1" t="n">
        <x:v>12</x:v>
      </x:c>
      <x:c r="D154" s="1" t="n">
        <x:v>4038</x:v>
      </x:c>
      <x:c r="E154" s="1" t="n">
        <x:v>3964</x:v>
      </x:c>
      <x:c r="F154" s="1" t="n">
        <x:v>74</x:v>
      </x:c>
      <x:c r="G154" s="1" t="n">
        <x:v>2646</x:v>
      </x:c>
      <x:c r="H154" s="1" t="n">
        <x:v>1318</x:v>
      </x:c>
      <x:c r="I154" s="1"/>
    </x:row>
    <x:row r="155" ht="23" customHeight="1">
      <x:c r="A155" s="1" t="n">
        <x:v>2024</x:v>
      </x:c>
      <x:c r="B155" s="1" t="str">
        <x:v>Brisbane-Sydney</x:v>
      </x:c>
      <x:c r="C155" s="1" t="n">
        <x:v>12</x:v>
      </x:c>
      <x:c r="D155" s="1" t="n">
        <x:v>15138</x:v>
      </x:c>
      <x:c r="E155" s="1" t="n">
        <x:v>14674</x:v>
      </x:c>
      <x:c r="F155" s="1" t="n">
        <x:v>464</x:v>
      </x:c>
      <x:c r="G155" s="1" t="n">
        <x:v>10893</x:v>
      </x:c>
      <x:c r="H155" s="1" t="n">
        <x:v>3781</x:v>
      </x:c>
      <x:c r="I155" s="1"/>
    </x:row>
    <x:row r="156" ht="23" customHeight="1">
      <x:c r="A156" s="1" t="n">
        <x:v>2024</x:v>
      </x:c>
      <x:c r="B156" s="1" t="str">
        <x:v>Brisbane-Townsville</x:v>
      </x:c>
      <x:c r="C156" s="1" t="n">
        <x:v>12</x:v>
      </x:c>
      <x:c r="D156" s="1" t="n">
        <x:v>4241</x:v>
      </x:c>
      <x:c r="E156" s="1" t="n">
        <x:v>4187</x:v>
      </x:c>
      <x:c r="F156" s="1" t="n">
        <x:v>54</x:v>
      </x:c>
      <x:c r="G156" s="1" t="n">
        <x:v>2813</x:v>
      </x:c>
      <x:c r="H156" s="1" t="n">
        <x:v>1374</x:v>
      </x:c>
      <x:c r="I156" s="1"/>
    </x:row>
    <x:row r="157" ht="23" customHeight="1">
      <x:c r="A157" s="1" t="n">
        <x:v>2024</x:v>
      </x:c>
      <x:c r="B157" s="1" t="str">
        <x:v>Broome-Perth</x:v>
      </x:c>
      <x:c r="C157" s="1" t="n">
        <x:v>12</x:v>
      </x:c>
      <x:c r="D157" s="1" t="n">
        <x:v>1568</x:v>
      </x:c>
      <x:c r="E157" s="1" t="n">
        <x:v>1514</x:v>
      </x:c>
      <x:c r="F157" s="1" t="n">
        <x:v>54</x:v>
      </x:c>
      <x:c r="G157" s="1" t="n">
        <x:v>978</x:v>
      </x:c>
      <x:c r="H157" s="1" t="n">
        <x:v>536</x:v>
      </x:c>
      <x:c r="I157" s="1"/>
    </x:row>
    <x:row r="158" ht="23" customHeight="1">
      <x:c r="A158" s="1" t="n">
        <x:v>2024</x:v>
      </x:c>
      <x:c r="B158" s="1" t="str">
        <x:v>Cairns-Brisbane</x:v>
      </x:c>
      <x:c r="C158" s="1" t="n">
        <x:v>12</x:v>
      </x:c>
      <x:c r="D158" s="1" t="n">
        <x:v>4997</x:v>
      </x:c>
      <x:c r="E158" s="1" t="n">
        <x:v>4930</x:v>
      </x:c>
      <x:c r="F158" s="1" t="n">
        <x:v>67</x:v>
      </x:c>
      <x:c r="G158" s="1" t="n">
        <x:v>3548</x:v>
      </x:c>
      <x:c r="H158" s="1" t="n">
        <x:v>1382</x:v>
      </x:c>
      <x:c r="I158" s="1"/>
    </x:row>
    <x:row r="159" ht="23" customHeight="1">
      <x:c r="A159" s="1" t="n">
        <x:v>2024</x:v>
      </x:c>
      <x:c r="B159" s="1" t="str">
        <x:v>Cairns-Melbourne</x:v>
      </x:c>
      <x:c r="C159" s="1" t="n">
        <x:v>12</x:v>
      </x:c>
      <x:c r="D159" s="1" t="n">
        <x:v>2399</x:v>
      </x:c>
      <x:c r="E159" s="1" t="n">
        <x:v>2372</x:v>
      </x:c>
      <x:c r="F159" s="1" t="n">
        <x:v>27</x:v>
      </x:c>
      <x:c r="G159" s="1" t="n">
        <x:v>1650</x:v>
      </x:c>
      <x:c r="H159" s="1" t="n">
        <x:v>722</x:v>
      </x:c>
      <x:c r="I159" s="1"/>
    </x:row>
    <x:row r="160" ht="23" customHeight="1">
      <x:c r="A160" s="1" t="n">
        <x:v>2024</x:v>
      </x:c>
      <x:c r="B160" s="1" t="str">
        <x:v>Cairns-Sydney</x:v>
      </x:c>
      <x:c r="C160" s="1" t="n">
        <x:v>12</x:v>
      </x:c>
      <x:c r="D160" s="1" t="n">
        <x:v>2821</x:v>
      </x:c>
      <x:c r="E160" s="1" t="n">
        <x:v>2790</x:v>
      </x:c>
      <x:c r="F160" s="1" t="n">
        <x:v>31</x:v>
      </x:c>
      <x:c r="G160" s="1" t="n">
        <x:v>2102</x:v>
      </x:c>
      <x:c r="H160" s="1" t="n">
        <x:v>688</x:v>
      </x:c>
      <x:c r="I160" s="1"/>
    </x:row>
    <x:row r="161" ht="23" customHeight="1">
      <x:c r="A161" s="1" t="n">
        <x:v>2024</x:v>
      </x:c>
      <x:c r="B161" s="1" t="str">
        <x:v>Cairns-Townsville</x:v>
      </x:c>
      <x:c r="C161" s="1" t="n">
        <x:v>12</x:v>
      </x:c>
      <x:c r="D161" s="1" t="n">
        <x:v>1806</x:v>
      </x:c>
      <x:c r="E161" s="1" t="n">
        <x:v>1745</x:v>
      </x:c>
      <x:c r="F161" s="1" t="n">
        <x:v>61</x:v>
      </x:c>
      <x:c r="G161" s="1" t="n">
        <x:v>1495</x:v>
      </x:c>
      <x:c r="H161" s="1" t="n">
        <x:v>250</x:v>
      </x:c>
      <x:c r="I161" s="1"/>
    </x:row>
    <x:row r="162" ht="23" customHeight="1">
      <x:c r="A162" s="1" t="n">
        <x:v>2024</x:v>
      </x:c>
      <x:c r="B162" s="1" t="str">
        <x:v>Canberra-Adelaide</x:v>
      </x:c>
      <x:c r="C162" s="1" t="n">
        <x:v>12</x:v>
      </x:c>
      <x:c r="D162" s="1" t="n">
        <x:v>1209</x:v>
      </x:c>
      <x:c r="E162" s="1" t="n">
        <x:v>1195</x:v>
      </x:c>
      <x:c r="F162" s="1" t="n">
        <x:v>14</x:v>
      </x:c>
      <x:c r="G162" s="1" t="n">
        <x:v>1013</x:v>
      </x:c>
      <x:c r="H162" s="1" t="n">
        <x:v>182</x:v>
      </x:c>
      <x:c r="I162" s="1"/>
    </x:row>
    <x:row r="163" ht="23" customHeight="1">
      <x:c r="A163" s="1" t="n">
        <x:v>2024</x:v>
      </x:c>
      <x:c r="B163" s="1" t="str">
        <x:v>Canberra-Brisbane</x:v>
      </x:c>
      <x:c r="C163" s="1" t="n">
        <x:v>12</x:v>
      </x:c>
      <x:c r="D163" s="1" t="n">
        <x:v>3419</x:v>
      </x:c>
      <x:c r="E163" s="1" t="n">
        <x:v>3354</x:v>
      </x:c>
      <x:c r="F163" s="1" t="n">
        <x:v>65</x:v>
      </x:c>
      <x:c r="G163" s="1" t="n">
        <x:v>2460</x:v>
      </x:c>
      <x:c r="H163" s="1" t="n">
        <x:v>894</x:v>
      </x:c>
      <x:c r="I163" s="1"/>
    </x:row>
    <x:row r="164" ht="23" customHeight="1">
      <x:c r="A164" s="1" t="n">
        <x:v>2024</x:v>
      </x:c>
      <x:c r="B164" s="1" t="str">
        <x:v>Canberra-Gold Coast</x:v>
      </x:c>
      <x:c r="C164" s="1" t="n">
        <x:v>12</x:v>
      </x:c>
      <x:c r="D164" s="1" t="n">
        <x:v>591</x:v>
      </x:c>
      <x:c r="E164" s="1" t="n">
        <x:v>585</x:v>
      </x:c>
      <x:c r="F164" s="1" t="n">
        <x:v>6</x:v>
      </x:c>
      <x:c r="G164" s="1" t="n">
        <x:v>455</x:v>
      </x:c>
      <x:c r="H164" s="1" t="n">
        <x:v>130</x:v>
      </x:c>
      <x:c r="I164" s="1"/>
    </x:row>
    <x:row r="165" ht="23" customHeight="1">
      <x:c r="A165" s="1" t="n">
        <x:v>2024</x:v>
      </x:c>
      <x:c r="B165" s="1" t="str">
        <x:v>Canberra-Melbourne</x:v>
      </x:c>
      <x:c r="C165" s="1" t="n">
        <x:v>12</x:v>
      </x:c>
      <x:c r="D165" s="1" t="n">
        <x:v>4597</x:v>
      </x:c>
      <x:c r="E165" s="1" t="n">
        <x:v>4444</x:v>
      </x:c>
      <x:c r="F165" s="1" t="n">
        <x:v>153</x:v>
      </x:c>
      <x:c r="G165" s="1" t="n">
        <x:v>3063</x:v>
      </x:c>
      <x:c r="H165" s="1" t="n">
        <x:v>1381</x:v>
      </x:c>
      <x:c r="I165" s="1"/>
    </x:row>
    <x:row r="166" ht="23" customHeight="1">
      <x:c r="A166" s="1" t="n">
        <x:v>2024</x:v>
      </x:c>
      <x:c r="B166" s="1" t="str">
        <x:v>Canberra-Sydney</x:v>
      </x:c>
      <x:c r="C166" s="1" t="n">
        <x:v>12</x:v>
      </x:c>
      <x:c r="D166" s="1" t="n">
        <x:v>7664</x:v>
      </x:c>
      <x:c r="E166" s="1" t="n">
        <x:v>7313</x:v>
      </x:c>
      <x:c r="F166" s="1" t="n">
        <x:v>351</x:v>
      </x:c>
      <x:c r="G166" s="1" t="n">
        <x:v>5756</x:v>
      </x:c>
      <x:c r="H166" s="1" t="n">
        <x:v>1557</x:v>
      </x:c>
      <x:c r="I166" s="1"/>
    </x:row>
    <x:row r="167" ht="23" customHeight="1">
      <x:c r="A167" s="1" t="n">
        <x:v>2024</x:v>
      </x:c>
      <x:c r="B167" s="1" t="str">
        <x:v>Coffs Harbour-Sydney</x:v>
      </x:c>
      <x:c r="C167" s="1" t="n">
        <x:v>12</x:v>
      </x:c>
      <x:c r="D167" s="1" t="n">
        <x:v>2372</x:v>
      </x:c>
      <x:c r="E167" s="1" t="n">
        <x:v>2335</x:v>
      </x:c>
      <x:c r="F167" s="1" t="n">
        <x:v>37</x:v>
      </x:c>
      <x:c r="G167" s="1" t="n">
        <x:v>1721</x:v>
      </x:c>
      <x:c r="H167" s="1" t="n">
        <x:v>614</x:v>
      </x:c>
      <x:c r="I167" s="1"/>
    </x:row>
    <x:row r="168" ht="23" customHeight="1">
      <x:c r="A168" s="1" t="n">
        <x:v>2024</x:v>
      </x:c>
      <x:c r="B168" s="1" t="str">
        <x:v>Darwin-Brisbane</x:v>
      </x:c>
      <x:c r="C168" s="1" t="n">
        <x:v>12</x:v>
      </x:c>
      <x:c r="D168" s="1" t="n">
        <x:v>1298</x:v>
      </x:c>
      <x:c r="E168" s="1" t="n">
        <x:v>1282</x:v>
      </x:c>
      <x:c r="F168" s="1" t="n">
        <x:v>16</x:v>
      </x:c>
      <x:c r="G168" s="1" t="n">
        <x:v>809</x:v>
      </x:c>
      <x:c r="H168" s="1" t="n">
        <x:v>473</x:v>
      </x:c>
      <x:c r="I168" s="1"/>
    </x:row>
    <x:row r="169" ht="23" customHeight="1">
      <x:c r="A169" s="1" t="n">
        <x:v>2024</x:v>
      </x:c>
      <x:c r="B169" s="1" t="str">
        <x:v>Darwin-Melbourne</x:v>
      </x:c>
      <x:c r="C169" s="1" t="n">
        <x:v>12</x:v>
      </x:c>
      <x:c r="D169" s="1" t="n">
        <x:v>1011</x:v>
      </x:c>
      <x:c r="E169" s="1" t="n">
        <x:v>995</x:v>
      </x:c>
      <x:c r="F169" s="1" t="n">
        <x:v>16</x:v>
      </x:c>
      <x:c r="G169" s="1" t="n">
        <x:v>633</x:v>
      </x:c>
      <x:c r="H169" s="1" t="n">
        <x:v>362</x:v>
      </x:c>
      <x:c r="I169" s="1"/>
    </x:row>
    <x:row r="170" ht="23" customHeight="1">
      <x:c r="A170" s="1" t="n">
        <x:v>2024</x:v>
      </x:c>
      <x:c r="B170" s="1" t="str">
        <x:v>Darwin-Perth</x:v>
      </x:c>
      <x:c r="C170" s="1" t="n">
        <x:v>12</x:v>
      </x:c>
      <x:c r="D170" s="1" t="n">
        <x:v>722</x:v>
      </x:c>
      <x:c r="E170" s="1" t="n">
        <x:v>689</x:v>
      </x:c>
      <x:c r="F170" s="1" t="n">
        <x:v>33</x:v>
      </x:c>
      <x:c r="G170" s="1" t="n">
        <x:v>406</x:v>
      </x:c>
      <x:c r="H170" s="1" t="n">
        <x:v>283</x:v>
      </x:c>
      <x:c r="I170" s="1"/>
    </x:row>
    <x:row r="171" ht="23" customHeight="1">
      <x:c r="A171" s="1" t="n">
        <x:v>2024</x:v>
      </x:c>
      <x:c r="B171" s="1" t="str">
        <x:v>Devonport-Melbourne</x:v>
      </x:c>
      <x:c r="C171" s="1" t="n">
        <x:v>12</x:v>
      </x:c>
      <x:c r="D171" s="1" t="n">
        <x:v>1892</x:v>
      </x:c>
      <x:c r="E171" s="1" t="n">
        <x:v>1847</x:v>
      </x:c>
      <x:c r="F171" s="1" t="n">
        <x:v>45</x:v>
      </x:c>
      <x:c r="G171" s="1" t="n">
        <x:v>1431</x:v>
      </x:c>
      <x:c r="H171" s="1" t="n">
        <x:v>416</x:v>
      </x:c>
      <x:c r="I171" s="1"/>
    </x:row>
    <x:row r="172" ht="23" customHeight="1">
      <x:c r="A172" s="1" t="n">
        <x:v>2024</x:v>
      </x:c>
      <x:c r="B172" s="1" t="str">
        <x:v>Dubbo-Sydney</x:v>
      </x:c>
      <x:c r="C172" s="1" t="n">
        <x:v>12</x:v>
      </x:c>
      <x:c r="D172" s="1" t="n">
        <x:v>2713</x:v>
      </x:c>
      <x:c r="E172" s="1" t="n">
        <x:v>2631</x:v>
      </x:c>
      <x:c r="F172" s="1" t="n">
        <x:v>82</x:v>
      </x:c>
      <x:c r="G172" s="1" t="n">
        <x:v>1916</x:v>
      </x:c>
      <x:c r="H172" s="1" t="n">
        <x:v>715</x:v>
      </x:c>
      <x:c r="I172" s="1"/>
    </x:row>
    <x:row r="173" ht="23" customHeight="1">
      <x:c r="A173" s="1" t="n">
        <x:v>2024</x:v>
      </x:c>
      <x:c r="B173" s="1" t="str">
        <x:v>Emerald-Brisbane</x:v>
      </x:c>
      <x:c r="C173" s="1" t="n">
        <x:v>12</x:v>
      </x:c>
      <x:c r="D173" s="1" t="n">
        <x:v>1805</x:v>
      </x:c>
      <x:c r="E173" s="1" t="n">
        <x:v>1734</x:v>
      </x:c>
      <x:c r="F173" s="1" t="n">
        <x:v>71</x:v>
      </x:c>
      <x:c r="G173" s="1" t="n">
        <x:v>1393</x:v>
      </x:c>
      <x:c r="H173" s="1" t="n">
        <x:v>341</x:v>
      </x:c>
      <x:c r="I173" s="1"/>
    </x:row>
    <x:row r="174" ht="23" customHeight="1">
      <x:c r="A174" s="1" t="n">
        <x:v>2024</x:v>
      </x:c>
      <x:c r="B174" s="1" t="str">
        <x:v>Gladstone-Brisbane</x:v>
      </x:c>
      <x:c r="C174" s="1" t="n">
        <x:v>12</x:v>
      </x:c>
      <x:c r="D174" s="1" t="n">
        <x:v>1998</x:v>
      </x:c>
      <x:c r="E174" s="1" t="n">
        <x:v>1936</x:v>
      </x:c>
      <x:c r="F174" s="1" t="n">
        <x:v>62</x:v>
      </x:c>
      <x:c r="G174" s="1" t="n">
        <x:v>1398</x:v>
      </x:c>
      <x:c r="H174" s="1" t="n">
        <x:v>538</x:v>
      </x:c>
      <x:c r="I174" s="1"/>
    </x:row>
    <x:row r="175" ht="23" customHeight="1">
      <x:c r="A175" s="1" t="n">
        <x:v>2024</x:v>
      </x:c>
      <x:c r="B175" s="1" t="str">
        <x:v>Gold Coast-Adelaide</x:v>
      </x:c>
      <x:c r="C175" s="1" t="n">
        <x:v>12</x:v>
      </x:c>
      <x:c r="D175" s="1" t="n">
        <x:v>801</x:v>
      </x:c>
      <x:c r="E175" s="1" t="n">
        <x:v>798</x:v>
      </x:c>
      <x:c r="F175" s="1" t="n">
        <x:v>3</x:v>
      </x:c>
      <x:c r="G175" s="1" t="n">
        <x:v>610</x:v>
      </x:c>
      <x:c r="H175" s="1" t="n">
        <x:v>188</x:v>
      </x:c>
      <x:c r="I175" s="1"/>
    </x:row>
    <x:row r="176" ht="23" customHeight="1">
      <x:c r="A176" s="1" t="n">
        <x:v>2024</x:v>
      </x:c>
      <x:c r="B176" s="1" t="str">
        <x:v>Gold Coast-Canberra</x:v>
      </x:c>
      <x:c r="C176" s="1" t="n">
        <x:v>12</x:v>
      </x:c>
      <x:c r="D176" s="1" t="n">
        <x:v>589</x:v>
      </x:c>
      <x:c r="E176" s="1" t="n">
        <x:v>586</x:v>
      </x:c>
      <x:c r="F176" s="1" t="n">
        <x:v>3</x:v>
      </x:c>
      <x:c r="G176" s="1" t="n">
        <x:v>446</x:v>
      </x:c>
      <x:c r="H176" s="1" t="n">
        <x:v>140</x:v>
      </x:c>
      <x:c r="I176" s="1"/>
    </x:row>
    <x:row r="177" ht="23" customHeight="1">
      <x:c r="A177" s="1" t="n">
        <x:v>2024</x:v>
      </x:c>
      <x:c r="B177" s="1" t="str">
        <x:v>Gold Coast-Melbourne</x:v>
      </x:c>
      <x:c r="C177" s="1" t="n">
        <x:v>12</x:v>
      </x:c>
      <x:c r="D177" s="1" t="n">
        <x:v>6447</x:v>
      </x:c>
      <x:c r="E177" s="1" t="n">
        <x:v>6335</x:v>
      </x:c>
      <x:c r="F177" s="1" t="n">
        <x:v>112</x:v>
      </x:c>
      <x:c r="G177" s="1" t="n">
        <x:v>4479</x:v>
      </x:c>
      <x:c r="H177" s="1" t="n">
        <x:v>1856</x:v>
      </x:c>
      <x:c r="I177" s="1"/>
    </x:row>
    <x:row r="178" ht="23" customHeight="1">
      <x:c r="A178" s="1" t="n">
        <x:v>2024</x:v>
      </x:c>
      <x:c r="B178" s="1" t="str">
        <x:v>Gold Coast-Sydney</x:v>
      </x:c>
      <x:c r="C178" s="1" t="n">
        <x:v>12</x:v>
      </x:c>
      <x:c r="D178" s="1" t="n">
        <x:v>8185</x:v>
      </x:c>
      <x:c r="E178" s="1" t="n">
        <x:v>8036</x:v>
      </x:c>
      <x:c r="F178" s="1" t="n">
        <x:v>149</x:v>
      </x:c>
      <x:c r="G178" s="1" t="n">
        <x:v>6145</x:v>
      </x:c>
      <x:c r="H178" s="1" t="n">
        <x:v>1891</x:v>
      </x:c>
      <x:c r="I178" s="1"/>
    </x:row>
    <x:row r="179" ht="23" customHeight="1">
      <x:c r="A179" s="1" t="n">
        <x:v>2024</x:v>
      </x:c>
      <x:c r="B179" s="1" t="str">
        <x:v>Hamilton Island-Brisbane</x:v>
      </x:c>
      <x:c r="C179" s="1" t="n">
        <x:v>12</x:v>
      </x:c>
      <x:c r="D179" s="1" t="n">
        <x:v>754</x:v>
      </x:c>
      <x:c r="E179" s="1" t="n">
        <x:v>744</x:v>
      </x:c>
      <x:c r="F179" s="1" t="n">
        <x:v>10</x:v>
      </x:c>
      <x:c r="G179" s="1" t="n">
        <x:v>504</x:v>
      </x:c>
      <x:c r="H179" s="1" t="n">
        <x:v>240</x:v>
      </x:c>
      <x:c r="I179" s="1"/>
    </x:row>
    <x:row r="180" ht="23" customHeight="1">
      <x:c r="A180" s="1" t="n">
        <x:v>2024</x:v>
      </x:c>
      <x:c r="B180" s="1" t="str">
        <x:v>Hamilton Island-Sydney</x:v>
      </x:c>
      <x:c r="C180" s="1" t="n">
        <x:v>12</x:v>
      </x:c>
      <x:c r="D180" s="1" t="n">
        <x:v>907</x:v>
      </x:c>
      <x:c r="E180" s="1" t="n">
        <x:v>899</x:v>
      </x:c>
      <x:c r="F180" s="1" t="n">
        <x:v>8</x:v>
      </x:c>
      <x:c r="G180" s="1" t="n">
        <x:v>492</x:v>
      </x:c>
      <x:c r="H180" s="1" t="n">
        <x:v>407</x:v>
      </x:c>
      <x:c r="I180" s="1"/>
    </x:row>
    <x:row r="181" ht="23" customHeight="1">
      <x:c r="A181" s="1" t="n">
        <x:v>2024</x:v>
      </x:c>
      <x:c r="B181" s="1" t="str">
        <x:v>Hobart-Brisbane</x:v>
      </x:c>
      <x:c r="C181" s="1" t="n">
        <x:v>12</x:v>
      </x:c>
      <x:c r="D181" s="1" t="n">
        <x:v>1126</x:v>
      </x:c>
      <x:c r="E181" s="1" t="n">
        <x:v>1112</x:v>
      </x:c>
      <x:c r="F181" s="1" t="n">
        <x:v>14</x:v>
      </x:c>
      <x:c r="G181" s="1" t="n">
        <x:v>785</x:v>
      </x:c>
      <x:c r="H181" s="1" t="n">
        <x:v>327</x:v>
      </x:c>
      <x:c r="I181" s="1"/>
    </x:row>
    <x:row r="182" ht="23" customHeight="1">
      <x:c r="A182" s="1" t="n">
        <x:v>2024</x:v>
      </x:c>
      <x:c r="B182" s="1" t="str">
        <x:v>Hobart-Melbourne</x:v>
      </x:c>
      <x:c r="C182" s="1" t="n">
        <x:v>12</x:v>
      </x:c>
      <x:c r="D182" s="1" t="n">
        <x:v>4899</x:v>
      </x:c>
      <x:c r="E182" s="1" t="n">
        <x:v>4816</x:v>
      </x:c>
      <x:c r="F182" s="1" t="n">
        <x:v>83</x:v>
      </x:c>
      <x:c r="G182" s="1" t="n">
        <x:v>3369</x:v>
      </x:c>
      <x:c r="H182" s="1" t="n">
        <x:v>1447</x:v>
      </x:c>
      <x:c r="I182" s="1"/>
    </x:row>
    <x:row r="183" ht="23" customHeight="1">
      <x:c r="A183" s="1" t="n">
        <x:v>2024</x:v>
      </x:c>
      <x:c r="B183" s="1" t="str">
        <x:v>Hobart-Sydney</x:v>
      </x:c>
      <x:c r="C183" s="1" t="n">
        <x:v>12</x:v>
      </x:c>
      <x:c r="D183" s="1" t="n">
        <x:v>2888</x:v>
      </x:c>
      <x:c r="E183" s="1" t="n">
        <x:v>2850</x:v>
      </x:c>
      <x:c r="F183" s="1" t="n">
        <x:v>38</x:v>
      </x:c>
      <x:c r="G183" s="1" t="n">
        <x:v>2175</x:v>
      </x:c>
      <x:c r="H183" s="1" t="n">
        <x:v>675</x:v>
      </x:c>
      <x:c r="I183" s="1"/>
    </x:row>
    <x:row r="184" ht="23" customHeight="1">
      <x:c r="A184" s="1" t="n">
        <x:v>2024</x:v>
      </x:c>
      <x:c r="B184" s="1" t="str">
        <x:v>Kalgoorlie-Perth</x:v>
      </x:c>
      <x:c r="C184" s="1" t="n">
        <x:v>12</x:v>
      </x:c>
      <x:c r="D184" s="1" t="n">
        <x:v>2188</x:v>
      </x:c>
      <x:c r="E184" s="1" t="n">
        <x:v>2066</x:v>
      </x:c>
      <x:c r="F184" s="1" t="n">
        <x:v>122</x:v>
      </x:c>
      <x:c r="G184" s="1" t="n">
        <x:v>1459</x:v>
      </x:c>
      <x:c r="H184" s="1" t="n">
        <x:v>607</x:v>
      </x:c>
      <x:c r="I184" s="1"/>
    </x:row>
    <x:row r="185" ht="23" customHeight="1">
      <x:c r="A185" s="1" t="n">
        <x:v>2024</x:v>
      </x:c>
      <x:c r="B185" s="1" t="str">
        <x:v>Karratha-Perth</x:v>
      </x:c>
      <x:c r="C185" s="1" t="n">
        <x:v>12</x:v>
      </x:c>
      <x:c r="D185" s="1" t="n">
        <x:v>2741</x:v>
      </x:c>
      <x:c r="E185" s="1" t="n">
        <x:v>2626</x:v>
      </x:c>
      <x:c r="F185" s="1" t="n">
        <x:v>115</x:v>
      </x:c>
      <x:c r="G185" s="1" t="n">
        <x:v>1861</x:v>
      </x:c>
      <x:c r="H185" s="1" t="n">
        <x:v>765</x:v>
      </x:c>
      <x:c r="I185" s="1"/>
    </x:row>
    <x:row r="186" ht="23" customHeight="1">
      <x:c r="A186" s="1" t="n">
        <x:v>2024</x:v>
      </x:c>
      <x:c r="B186" s="1" t="str">
        <x:v>Launceston-Brisbane</x:v>
      </x:c>
      <x:c r="C186" s="1" t="n">
        <x:v>12</x:v>
      </x:c>
      <x:c r="D186" s="1" t="n">
        <x:v>524</x:v>
      </x:c>
      <x:c r="E186" s="1" t="n">
        <x:v>518</x:v>
      </x:c>
      <x:c r="F186" s="1" t="n">
        <x:v>6</x:v>
      </x:c>
      <x:c r="G186" s="1" t="n">
        <x:v>313</x:v>
      </x:c>
      <x:c r="H186" s="1" t="n">
        <x:v>205</x:v>
      </x:c>
      <x:c r="I186" s="1"/>
    </x:row>
    <x:row r="187" ht="23" customHeight="1">
      <x:c r="A187" s="1" t="n">
        <x:v>2024</x:v>
      </x:c>
      <x:c r="B187" s="1" t="str">
        <x:v>Launceston-Melbourne</x:v>
      </x:c>
      <x:c r="C187" s="1" t="n">
        <x:v>12</x:v>
      </x:c>
      <x:c r="D187" s="1" t="n">
        <x:v>3408</x:v>
      </x:c>
      <x:c r="E187" s="1" t="n">
        <x:v>3309</x:v>
      </x:c>
      <x:c r="F187" s="1" t="n">
        <x:v>99</x:v>
      </x:c>
      <x:c r="G187" s="1" t="n">
        <x:v>2372</x:v>
      </x:c>
      <x:c r="H187" s="1" t="n">
        <x:v>937</x:v>
      </x:c>
      <x:c r="I187" s="1"/>
    </x:row>
    <x:row r="188" ht="23" customHeight="1">
      <x:c r="A188" s="1" t="n">
        <x:v>2024</x:v>
      </x:c>
      <x:c r="B188" s="1" t="str">
        <x:v>Launceston-Sydney</x:v>
      </x:c>
      <x:c r="C188" s="1" t="n">
        <x:v>12</x:v>
      </x:c>
      <x:c r="D188" s="1" t="n">
        <x:v>1252</x:v>
      </x:c>
      <x:c r="E188" s="1" t="n">
        <x:v>1229</x:v>
      </x:c>
      <x:c r="F188" s="1" t="n">
        <x:v>23</x:v>
      </x:c>
      <x:c r="G188" s="1" t="n">
        <x:v>896</x:v>
      </x:c>
      <x:c r="H188" s="1" t="n">
        <x:v>333</x:v>
      </x:c>
      <x:c r="I188" s="1"/>
    </x:row>
    <x:row r="189" ht="23" customHeight="1">
      <x:c r="A189" s="1" t="n">
        <x:v>2024</x:v>
      </x:c>
      <x:c r="B189" s="1" t="str">
        <x:v>Mackay-Brisbane</x:v>
      </x:c>
      <x:c r="C189" s="1" t="n">
        <x:v>12</x:v>
      </x:c>
      <x:c r="D189" s="1" t="n">
        <x:v>3582</x:v>
      </x:c>
      <x:c r="E189" s="1" t="n">
        <x:v>3532</x:v>
      </x:c>
      <x:c r="F189" s="1" t="n">
        <x:v>50</x:v>
      </x:c>
      <x:c r="G189" s="1" t="n">
        <x:v>2448</x:v>
      </x:c>
      <x:c r="H189" s="1" t="n">
        <x:v>1084</x:v>
      </x:c>
      <x:c r="I189" s="1"/>
    </x:row>
    <x:row r="190" ht="23" customHeight="1">
      <x:c r="A190" s="1" t="n">
        <x:v>2024</x:v>
      </x:c>
      <x:c r="B190" s="1" t="str">
        <x:v>Melbourne-Adelaide</x:v>
      </x:c>
      <x:c r="C190" s="1" t="n">
        <x:v>12</x:v>
      </x:c>
      <x:c r="D190" s="1" t="n">
        <x:v>8031</x:v>
      </x:c>
      <x:c r="E190" s="1" t="n">
        <x:v>7928</x:v>
      </x:c>
      <x:c r="F190" s="1" t="n">
        <x:v>103</x:v>
      </x:c>
      <x:c r="G190" s="1" t="n">
        <x:v>5623</x:v>
      </x:c>
      <x:c r="H190" s="1" t="n">
        <x:v>2305</x:v>
      </x:c>
      <x:c r="I190" s="1"/>
    </x:row>
    <x:row r="191" ht="23" customHeight="1">
      <x:c r="A191" s="1" t="n">
        <x:v>2024</x:v>
      </x:c>
      <x:c r="B191" s="1" t="str">
        <x:v>Melbourne-Brisbane</x:v>
      </x:c>
      <x:c r="C191" s="1" t="n">
        <x:v>12</x:v>
      </x:c>
      <x:c r="D191" s="1" t="n">
        <x:v>11906</x:v>
      </x:c>
      <x:c r="E191" s="1" t="n">
        <x:v>11590</x:v>
      </x:c>
      <x:c r="F191" s="1" t="n">
        <x:v>316</x:v>
      </x:c>
      <x:c r="G191" s="1" t="n">
        <x:v>8025</x:v>
      </x:c>
      <x:c r="H191" s="1" t="n">
        <x:v>3565</x:v>
      </x:c>
      <x:c r="I191" s="1"/>
    </x:row>
    <x:row r="192" ht="23" customHeight="1">
      <x:c r="A192" s="1" t="n">
        <x:v>2024</x:v>
      </x:c>
      <x:c r="B192" s="1" t="str">
        <x:v>Melbourne-Cairns</x:v>
      </x:c>
      <x:c r="C192" s="1" t="n">
        <x:v>12</x:v>
      </x:c>
      <x:c r="D192" s="1" t="n">
        <x:v>2402</x:v>
      </x:c>
      <x:c r="E192" s="1" t="n">
        <x:v>2379</x:v>
      </x:c>
      <x:c r="F192" s="1" t="n">
        <x:v>23</x:v>
      </x:c>
      <x:c r="G192" s="1" t="n">
        <x:v>1742</x:v>
      </x:c>
      <x:c r="H192" s="1" t="n">
        <x:v>637</x:v>
      </x:c>
      <x:c r="I192" s="1"/>
    </x:row>
    <x:row r="193" ht="23" customHeight="1">
      <x:c r="A193" s="1" t="n">
        <x:v>2024</x:v>
      </x:c>
      <x:c r="B193" s="1" t="str">
        <x:v>Melbourne-Canberra</x:v>
      </x:c>
      <x:c r="C193" s="1" t="n">
        <x:v>12</x:v>
      </x:c>
      <x:c r="D193" s="1" t="n">
        <x:v>4605</x:v>
      </x:c>
      <x:c r="E193" s="1" t="n">
        <x:v>4462</x:v>
      </x:c>
      <x:c r="F193" s="1" t="n">
        <x:v>143</x:v>
      </x:c>
      <x:c r="G193" s="1" t="n">
        <x:v>3192</x:v>
      </x:c>
      <x:c r="H193" s="1" t="n">
        <x:v>1270</x:v>
      </x:c>
      <x:c r="I193" s="1"/>
    </x:row>
    <x:row r="194" ht="23" customHeight="1">
      <x:c r="A194" s="1" t="n">
        <x:v>2024</x:v>
      </x:c>
      <x:c r="B194" s="1" t="str">
        <x:v>Melbourne-Darwin</x:v>
      </x:c>
      <x:c r="C194" s="1" t="n">
        <x:v>12</x:v>
      </x:c>
      <x:c r="D194" s="1" t="n">
        <x:v>1007</x:v>
      </x:c>
      <x:c r="E194" s="1" t="n">
        <x:v>998</x:v>
      </x:c>
      <x:c r="F194" s="1" t="n">
        <x:v>9</x:v>
      </x:c>
      <x:c r="G194" s="1" t="n">
        <x:v>700</x:v>
      </x:c>
      <x:c r="H194" s="1" t="n">
        <x:v>298</x:v>
      </x:c>
      <x:c r="I194" s="1"/>
    </x:row>
    <x:row r="195" ht="23" customHeight="1">
      <x:c r="A195" s="1" t="n">
        <x:v>2024</x:v>
      </x:c>
      <x:c r="B195" s="1" t="str">
        <x:v>Melbourne-Devonport</x:v>
      </x:c>
      <x:c r="C195" s="1" t="n">
        <x:v>12</x:v>
      </x:c>
      <x:c r="D195" s="1" t="n">
        <x:v>1891</x:v>
      </x:c>
      <x:c r="E195" s="1" t="n">
        <x:v>1856</x:v>
      </x:c>
      <x:c r="F195" s="1" t="n">
        <x:v>35</x:v>
      </x:c>
      <x:c r="G195" s="1" t="n">
        <x:v>1473</x:v>
      </x:c>
      <x:c r="H195" s="1" t="n">
        <x:v>383</x:v>
      </x:c>
      <x:c r="I195" s="1"/>
    </x:row>
    <x:row r="196" ht="23" customHeight="1">
      <x:c r="A196" s="1" t="n">
        <x:v>2024</x:v>
      </x:c>
      <x:c r="B196" s="1" t="str">
        <x:v>Melbourne-Gold Coast</x:v>
      </x:c>
      <x:c r="C196" s="1" t="n">
        <x:v>12</x:v>
      </x:c>
      <x:c r="D196" s="1" t="n">
        <x:v>6439</x:v>
      </x:c>
      <x:c r="E196" s="1" t="n">
        <x:v>6337</x:v>
      </x:c>
      <x:c r="F196" s="1" t="n">
        <x:v>102</x:v>
      </x:c>
      <x:c r="G196" s="1" t="n">
        <x:v>4605</x:v>
      </x:c>
      <x:c r="H196" s="1" t="n">
        <x:v>1732</x:v>
      </x:c>
      <x:c r="I196" s="1"/>
    </x:row>
    <x:row r="197" ht="23" customHeight="1">
      <x:c r="A197" s="1" t="n">
        <x:v>2024</x:v>
      </x:c>
      <x:c r="B197" s="1" t="str">
        <x:v>Melbourne-Hobart</x:v>
      </x:c>
      <x:c r="C197" s="1" t="n">
        <x:v>12</x:v>
      </x:c>
      <x:c r="D197" s="1" t="n">
        <x:v>4896</x:v>
      </x:c>
      <x:c r="E197" s="1" t="n">
        <x:v>4821</x:v>
      </x:c>
      <x:c r="F197" s="1" t="n">
        <x:v>75</x:v>
      </x:c>
      <x:c r="G197" s="1" t="n">
        <x:v>3368</x:v>
      </x:c>
      <x:c r="H197" s="1" t="n">
        <x:v>1453</x:v>
      </x:c>
      <x:c r="I197" s="1"/>
    </x:row>
    <x:row r="198" ht="23" customHeight="1">
      <x:c r="A198" s="1" t="n">
        <x:v>2024</x:v>
      </x:c>
      <x:c r="B198" s="1" t="str">
        <x:v>Melbourne-Launceston</x:v>
      </x:c>
      <x:c r="C198" s="1" t="n">
        <x:v>12</x:v>
      </x:c>
      <x:c r="D198" s="1" t="n">
        <x:v>3410</x:v>
      </x:c>
      <x:c r="E198" s="1" t="n">
        <x:v>3322</x:v>
      </x:c>
      <x:c r="F198" s="1" t="n">
        <x:v>88</x:v>
      </x:c>
      <x:c r="G198" s="1" t="n">
        <x:v>2237</x:v>
      </x:c>
      <x:c r="H198" s="1" t="n">
        <x:v>1085</x:v>
      </x:c>
      <x:c r="I198" s="1"/>
    </x:row>
    <x:row r="199" ht="23" customHeight="1">
      <x:c r="A199" s="1" t="n">
        <x:v>2024</x:v>
      </x:c>
      <x:c r="B199" s="1" t="str">
        <x:v>Melbourne-Mildura</x:v>
      </x:c>
      <x:c r="C199" s="1" t="n">
        <x:v>12</x:v>
      </x:c>
      <x:c r="D199" s="1" t="n">
        <x:v>2418</x:v>
      </x:c>
      <x:c r="E199" s="1" t="n">
        <x:v>2396</x:v>
      </x:c>
      <x:c r="F199" s="1" t="n">
        <x:v>22</x:v>
      </x:c>
      <x:c r="G199" s="1" t="n">
        <x:v>1742</x:v>
      </x:c>
      <x:c r="H199" s="1" t="n">
        <x:v>654</x:v>
      </x:c>
      <x:c r="I199" s="1"/>
    </x:row>
    <x:row r="200" ht="23" customHeight="1">
      <x:c r="A200" s="1" t="n">
        <x:v>2024</x:v>
      </x:c>
      <x:c r="B200" s="1" t="str">
        <x:v>Melbourne-Newcastle</x:v>
      </x:c>
      <x:c r="C200" s="1" t="n">
        <x:v>12</x:v>
      </x:c>
      <x:c r="D200" s="1" t="n">
        <x:v>1817</x:v>
      </x:c>
      <x:c r="E200" s="1" t="n">
        <x:v>1795</x:v>
      </x:c>
      <x:c r="F200" s="1" t="n">
        <x:v>22</x:v>
      </x:c>
      <x:c r="G200" s="1" t="n">
        <x:v>1239</x:v>
      </x:c>
      <x:c r="H200" s="1" t="n">
        <x:v>556</x:v>
      </x:c>
      <x:c r="I200" s="1"/>
    </x:row>
    <x:row r="201" ht="23" customHeight="1">
      <x:c r="A201" s="1" t="n">
        <x:v>2024</x:v>
      </x:c>
      <x:c r="B201" s="1" t="str">
        <x:v>Melbourne-Perth</x:v>
      </x:c>
      <x:c r="C201" s="1" t="n">
        <x:v>12</x:v>
      </x:c>
      <x:c r="D201" s="1" t="n">
        <x:v>5944</x:v>
      </x:c>
      <x:c r="E201" s="1" t="n">
        <x:v>5845</x:v>
      </x:c>
      <x:c r="F201" s="1" t="n">
        <x:v>99</x:v>
      </x:c>
      <x:c r="G201" s="1" t="n">
        <x:v>4056</x:v>
      </x:c>
      <x:c r="H201" s="1" t="n">
        <x:v>1789</x:v>
      </x:c>
      <x:c r="I201" s="1"/>
    </x:row>
    <x:row r="202" ht="23" customHeight="1">
      <x:c r="A202" s="1" t="n">
        <x:v>2024</x:v>
      </x:c>
      <x:c r="B202" s="1" t="str">
        <x:v>Melbourne-Sunshine Coast</x:v>
      </x:c>
      <x:c r="C202" s="1" t="n">
        <x:v>12</x:v>
      </x:c>
      <x:c r="D202" s="1" t="n">
        <x:v>2229</x:v>
      </x:c>
      <x:c r="E202" s="1" t="n">
        <x:v>2223</x:v>
      </x:c>
      <x:c r="F202" s="1" t="n">
        <x:v>6</x:v>
      </x:c>
      <x:c r="G202" s="1" t="n">
        <x:v>1703</x:v>
      </x:c>
      <x:c r="H202" s="1" t="n">
        <x:v>520</x:v>
      </x:c>
      <x:c r="I202" s="1"/>
    </x:row>
    <x:row r="203" ht="23" customHeight="1">
      <x:c r="A203" s="1" t="n">
        <x:v>2024</x:v>
      </x:c>
      <x:c r="B203" s="1" t="str">
        <x:v>Melbourne-Sydney</x:v>
      </x:c>
      <x:c r="C203" s="1" t="n">
        <x:v>12</x:v>
      </x:c>
      <x:c r="D203" s="1" t="n">
        <x:v>26339</x:v>
      </x:c>
      <x:c r="E203" s="1" t="n">
        <x:v>24801</x:v>
      </x:c>
      <x:c r="F203" s="1" t="n">
        <x:v>1538</x:v>
      </x:c>
      <x:c r="G203" s="1" t="n">
        <x:v>18128</x:v>
      </x:c>
      <x:c r="H203" s="1" t="n">
        <x:v>6673</x:v>
      </x:c>
      <x:c r="I203" s="1"/>
    </x:row>
    <x:row r="204" ht="23" customHeight="1">
      <x:c r="A204" s="1" t="n">
        <x:v>2024</x:v>
      </x:c>
      <x:c r="B204" s="1" t="str">
        <x:v>Mildura-Melbourne</x:v>
      </x:c>
      <x:c r="C204" s="1" t="n">
        <x:v>12</x:v>
      </x:c>
      <x:c r="D204" s="1" t="n">
        <x:v>2419</x:v>
      </x:c>
      <x:c r="E204" s="1" t="n">
        <x:v>2393</x:v>
      </x:c>
      <x:c r="F204" s="1" t="n">
        <x:v>26</x:v>
      </x:c>
      <x:c r="G204" s="1" t="n">
        <x:v>1683</x:v>
      </x:c>
      <x:c r="H204" s="1" t="n">
        <x:v>710</x:v>
      </x:c>
      <x:c r="I204" s="1"/>
    </x:row>
    <x:row r="205" ht="23" customHeight="1">
      <x:c r="A205" s="1" t="n">
        <x:v>2024</x:v>
      </x:c>
      <x:c r="B205" s="1" t="str">
        <x:v>Mount Isa-Brisbane</x:v>
      </x:c>
      <x:c r="C205" s="1" t="n">
        <x:v>12</x:v>
      </x:c>
      <x:c r="D205" s="1" t="n">
        <x:v>840</x:v>
      </x:c>
      <x:c r="E205" s="1" t="n">
        <x:v>833</x:v>
      </x:c>
      <x:c r="F205" s="1" t="n">
        <x:v>7</x:v>
      </x:c>
      <x:c r="G205" s="1" t="n">
        <x:v>605</x:v>
      </x:c>
      <x:c r="H205" s="1" t="n">
        <x:v>228</x:v>
      </x:c>
      <x:c r="I205" s="1"/>
    </x:row>
    <x:row r="206" ht="23" customHeight="1">
      <x:c r="A206" s="1" t="n">
        <x:v>2024</x:v>
      </x:c>
      <x:c r="B206" s="1" t="str">
        <x:v>Newcastle-Brisbane</x:v>
      </x:c>
      <x:c r="C206" s="1" t="n">
        <x:v>12</x:v>
      </x:c>
      <x:c r="D206" s="1" t="n">
        <x:v>2710</x:v>
      </x:c>
      <x:c r="E206" s="1" t="n">
        <x:v>2661</x:v>
      </x:c>
      <x:c r="F206" s="1" t="n">
        <x:v>49</x:v>
      </x:c>
      <x:c r="G206" s="1" t="n">
        <x:v>1889</x:v>
      </x:c>
      <x:c r="H206" s="1" t="n">
        <x:v>772</x:v>
      </x:c>
      <x:c r="I206" s="1"/>
    </x:row>
    <x:row r="207" ht="23" customHeight="1">
      <x:c r="A207" s="1" t="n">
        <x:v>2024</x:v>
      </x:c>
      <x:c r="B207" s="1" t="str">
        <x:v>Newcastle-Melbourne</x:v>
      </x:c>
      <x:c r="C207" s="1" t="n">
        <x:v>12</x:v>
      </x:c>
      <x:c r="D207" s="1" t="n">
        <x:v>1826</x:v>
      </x:c>
      <x:c r="E207" s="1" t="n">
        <x:v>1799</x:v>
      </x:c>
      <x:c r="F207" s="1" t="n">
        <x:v>27</x:v>
      </x:c>
      <x:c r="G207" s="1" t="n">
        <x:v>1310</x:v>
      </x:c>
      <x:c r="H207" s="1" t="n">
        <x:v>489</x:v>
      </x:c>
      <x:c r="I207" s="1"/>
    </x:row>
    <x:row r="208" ht="23" customHeight="1">
      <x:c r="A208" s="1" t="n">
        <x:v>2024</x:v>
      </x:c>
      <x:c r="B208" s="1" t="str">
        <x:v>Newman-Perth</x:v>
      </x:c>
      <x:c r="C208" s="1" t="n">
        <x:v>12</x:v>
      </x:c>
      <x:c r="D208" s="1" t="n">
        <x:v>2094</x:v>
      </x:c>
      <x:c r="E208" s="1" t="n">
        <x:v>2017</x:v>
      </x:c>
      <x:c r="F208" s="1" t="n">
        <x:v>77</x:v>
      </x:c>
      <x:c r="G208" s="1" t="n">
        <x:v>1379</x:v>
      </x:c>
      <x:c r="H208" s="1" t="n">
        <x:v>638</x:v>
      </x:c>
      <x:c r="I208" s="1"/>
    </x:row>
    <x:row r="209" ht="23" customHeight="1">
      <x:c r="A209" s="1" t="n">
        <x:v>2024</x:v>
      </x:c>
      <x:c r="B209" s="1" t="str">
        <x:v>Perth-Adelaide</x:v>
      </x:c>
      <x:c r="C209" s="1" t="n">
        <x:v>12</x:v>
      </x:c>
      <x:c r="D209" s="1" t="n">
        <x:v>2421</x:v>
      </x:c>
      <x:c r="E209" s="1" t="n">
        <x:v>2355</x:v>
      </x:c>
      <x:c r="F209" s="1" t="n">
        <x:v>66</x:v>
      </x:c>
      <x:c r="G209" s="1" t="n">
        <x:v>1655</x:v>
      </x:c>
      <x:c r="H209" s="1" t="n">
        <x:v>700</x:v>
      </x:c>
      <x:c r="I209" s="1"/>
    </x:row>
    <x:row r="210" ht="23" customHeight="1">
      <x:c r="A210" s="1" t="n">
        <x:v>2024</x:v>
      </x:c>
      <x:c r="B210" s="1" t="str">
        <x:v>Perth-Brisbane</x:v>
      </x:c>
      <x:c r="C210" s="1" t="n">
        <x:v>12</x:v>
      </x:c>
      <x:c r="D210" s="1" t="n">
        <x:v>3664</x:v>
      </x:c>
      <x:c r="E210" s="1" t="n">
        <x:v>3631</x:v>
      </x:c>
      <x:c r="F210" s="1" t="n">
        <x:v>33</x:v>
      </x:c>
      <x:c r="G210" s="1" t="n">
        <x:v>2656</x:v>
      </x:c>
      <x:c r="H210" s="1" t="n">
        <x:v>975</x:v>
      </x:c>
      <x:c r="I210" s="1"/>
    </x:row>
    <x:row r="211" ht="23" customHeight="1">
      <x:c r="A211" s="1" t="n">
        <x:v>2024</x:v>
      </x:c>
      <x:c r="B211" s="1" t="str">
        <x:v>Perth-Broome</x:v>
      </x:c>
      <x:c r="C211" s="1" t="n">
        <x:v>12</x:v>
      </x:c>
      <x:c r="D211" s="1" t="n">
        <x:v>1565</x:v>
      </x:c>
      <x:c r="E211" s="1" t="n">
        <x:v>1522</x:v>
      </x:c>
      <x:c r="F211" s="1" t="n">
        <x:v>43</x:v>
      </x:c>
      <x:c r="G211" s="1" t="n">
        <x:v>1152</x:v>
      </x:c>
      <x:c r="H211" s="1" t="n">
        <x:v>370</x:v>
      </x:c>
      <x:c r="I211" s="1"/>
    </x:row>
    <x:row r="212" ht="23" customHeight="1">
      <x:c r="A212" s="1" t="n">
        <x:v>2024</x:v>
      </x:c>
      <x:c r="B212" s="1" t="str">
        <x:v>Perth-Darwin</x:v>
      </x:c>
      <x:c r="C212" s="1" t="n">
        <x:v>12</x:v>
      </x:c>
      <x:c r="D212" s="1" t="n">
        <x:v>727</x:v>
      </x:c>
      <x:c r="E212" s="1" t="n">
        <x:v>694</x:v>
      </x:c>
      <x:c r="F212" s="1" t="n">
        <x:v>33</x:v>
      </x:c>
      <x:c r="G212" s="1" t="n">
        <x:v>470</x:v>
      </x:c>
      <x:c r="H212" s="1" t="n">
        <x:v>224</x:v>
      </x:c>
      <x:c r="I212" s="1"/>
    </x:row>
    <x:row r="213" ht="23" customHeight="1">
      <x:c r="A213" s="1" t="n">
        <x:v>2024</x:v>
      </x:c>
      <x:c r="B213" s="1" t="str">
        <x:v>Perth-Kalgoorlie</x:v>
      </x:c>
      <x:c r="C213" s="1" t="n">
        <x:v>12</x:v>
      </x:c>
      <x:c r="D213" s="1" t="n">
        <x:v>2188</x:v>
      </x:c>
      <x:c r="E213" s="1" t="n">
        <x:v>2075</x:v>
      </x:c>
      <x:c r="F213" s="1" t="n">
        <x:v>113</x:v>
      </x:c>
      <x:c r="G213" s="1" t="n">
        <x:v>1618</x:v>
      </x:c>
      <x:c r="H213" s="1" t="n">
        <x:v>457</x:v>
      </x:c>
      <x:c r="I213" s="1"/>
    </x:row>
    <x:row r="214" ht="23" customHeight="1">
      <x:c r="A214" s="1" t="n">
        <x:v>2024</x:v>
      </x:c>
      <x:c r="B214" s="1" t="str">
        <x:v>Perth-Karratha</x:v>
      </x:c>
      <x:c r="C214" s="1" t="n">
        <x:v>12</x:v>
      </x:c>
      <x:c r="D214" s="1" t="n">
        <x:v>2751</x:v>
      </x:c>
      <x:c r="E214" s="1" t="n">
        <x:v>2651</x:v>
      </x:c>
      <x:c r="F214" s="1" t="n">
        <x:v>100</x:v>
      </x:c>
      <x:c r="G214" s="1" t="n">
        <x:v>2062</x:v>
      </x:c>
      <x:c r="H214" s="1" t="n">
        <x:v>589</x:v>
      </x:c>
      <x:c r="I214" s="1"/>
    </x:row>
    <x:row r="215" ht="23" customHeight="1">
      <x:c r="A215" s="1" t="n">
        <x:v>2024</x:v>
      </x:c>
      <x:c r="B215" s="1" t="str">
        <x:v>Perth-Melbourne</x:v>
      </x:c>
      <x:c r="C215" s="1" t="n">
        <x:v>12</x:v>
      </x:c>
      <x:c r="D215" s="1" t="n">
        <x:v>6096</x:v>
      </x:c>
      <x:c r="E215" s="1" t="n">
        <x:v>5973</x:v>
      </x:c>
      <x:c r="F215" s="1" t="n">
        <x:v>123</x:v>
      </x:c>
      <x:c r="G215" s="1" t="n">
        <x:v>4482</x:v>
      </x:c>
      <x:c r="H215" s="1" t="n">
        <x:v>1491</x:v>
      </x:c>
      <x:c r="I215" s="1"/>
    </x:row>
    <x:row r="216" ht="23" customHeight="1">
      <x:c r="A216" s="1" t="n">
        <x:v>2024</x:v>
      </x:c>
      <x:c r="B216" s="1" t="str">
        <x:v>Perth-Newman</x:v>
      </x:c>
      <x:c r="C216" s="1" t="n">
        <x:v>12</x:v>
      </x:c>
      <x:c r="D216" s="1" t="n">
        <x:v>2090</x:v>
      </x:c>
      <x:c r="E216" s="1" t="n">
        <x:v>2019</x:v>
      </x:c>
      <x:c r="F216" s="1" t="n">
        <x:v>71</x:v>
      </x:c>
      <x:c r="G216" s="1" t="n">
        <x:v>1669</x:v>
      </x:c>
      <x:c r="H216" s="1" t="n">
        <x:v>350</x:v>
      </x:c>
      <x:c r="I216" s="1"/>
    </x:row>
    <x:row r="217" ht="23" customHeight="1">
      <x:c r="A217" s="1" t="n">
        <x:v>2024</x:v>
      </x:c>
      <x:c r="B217" s="1" t="str">
        <x:v>Perth-Port Hedland</x:v>
      </x:c>
      <x:c r="C217" s="1" t="n">
        <x:v>12</x:v>
      </x:c>
      <x:c r="D217" s="1" t="n">
        <x:v>2392</x:v>
      </x:c>
      <x:c r="E217" s="1" t="n">
        <x:v>2300</x:v>
      </x:c>
      <x:c r="F217" s="1" t="n">
        <x:v>92</x:v>
      </x:c>
      <x:c r="G217" s="1" t="n">
        <x:v>1839</x:v>
      </x:c>
      <x:c r="H217" s="1" t="n">
        <x:v>461</x:v>
      </x:c>
      <x:c r="I217" s="1"/>
    </x:row>
    <x:row r="218" ht="23" customHeight="1">
      <x:c r="A218" s="1" t="n">
        <x:v>2024</x:v>
      </x:c>
      <x:c r="B218" s="1" t="str">
        <x:v>Perth-Sydney</x:v>
      </x:c>
      <x:c r="C218" s="1" t="n">
        <x:v>12</x:v>
      </x:c>
      <x:c r="D218" s="1" t="n">
        <x:v>4881</x:v>
      </x:c>
      <x:c r="E218" s="1" t="n">
        <x:v>4790</x:v>
      </x:c>
      <x:c r="F218" s="1" t="n">
        <x:v>91</x:v>
      </x:c>
      <x:c r="G218" s="1" t="n">
        <x:v>3413</x:v>
      </x:c>
      <x:c r="H218" s="1" t="n">
        <x:v>1377</x:v>
      </x:c>
      <x:c r="I218" s="1"/>
    </x:row>
    <x:row r="219" ht="23" customHeight="1">
      <x:c r="A219" s="1" t="n">
        <x:v>2024</x:v>
      </x:c>
      <x:c r="B219" s="1" t="str">
        <x:v>Port Hedland-Perth</x:v>
      </x:c>
      <x:c r="C219" s="1" t="n">
        <x:v>12</x:v>
      </x:c>
      <x:c r="D219" s="1" t="n">
        <x:v>2388</x:v>
      </x:c>
      <x:c r="E219" s="1" t="n">
        <x:v>2278</x:v>
      </x:c>
      <x:c r="F219" s="1" t="n">
        <x:v>110</x:v>
      </x:c>
      <x:c r="G219" s="1" t="n">
        <x:v>1383</x:v>
      </x:c>
      <x:c r="H219" s="1" t="n">
        <x:v>895</x:v>
      </x:c>
      <x:c r="I219" s="1"/>
    </x:row>
    <x:row r="220" ht="23" customHeight="1">
      <x:c r="A220" s="1" t="n">
        <x:v>2024</x:v>
      </x:c>
      <x:c r="B220" s="1" t="str">
        <x:v>Port Lincoln-Adelaide</x:v>
      </x:c>
      <x:c r="C220" s="1" t="n">
        <x:v>12</x:v>
      </x:c>
      <x:c r="D220" s="1" t="n">
        <x:v>3388</x:v>
      </x:c>
      <x:c r="E220" s="1" t="n">
        <x:v>3285</x:v>
      </x:c>
      <x:c r="F220" s="1" t="n">
        <x:v>103</x:v>
      </x:c>
      <x:c r="G220" s="1" t="n">
        <x:v>2842</x:v>
      </x:c>
      <x:c r="H220" s="1" t="n">
        <x:v>443</x:v>
      </x:c>
      <x:c r="I220" s="1"/>
    </x:row>
    <x:row r="221" ht="23" customHeight="1">
      <x:c r="A221" s="1" t="n">
        <x:v>2024</x:v>
      </x:c>
      <x:c r="B221" s="1" t="str">
        <x:v>Port Macquarie-Sydney</x:v>
      </x:c>
      <x:c r="C221" s="1" t="n">
        <x:v>12</x:v>
      </x:c>
      <x:c r="D221" s="1" t="n">
        <x:v>2055</x:v>
      </x:c>
      <x:c r="E221" s="1" t="n">
        <x:v>2005</x:v>
      </x:c>
      <x:c r="F221" s="1" t="n">
        <x:v>50</x:v>
      </x:c>
      <x:c r="G221" s="1" t="n">
        <x:v>1496</x:v>
      </x:c>
      <x:c r="H221" s="1" t="n">
        <x:v>509</x:v>
      </x:c>
      <x:c r="I221" s="1"/>
    </x:row>
    <x:row r="222" ht="23" customHeight="1">
      <x:c r="A222" s="1" t="n">
        <x:v>2024</x:v>
      </x:c>
      <x:c r="B222" s="1" t="str">
        <x:v>Proserpine-Brisbane</x:v>
      </x:c>
      <x:c r="C222" s="1" t="n">
        <x:v>12</x:v>
      </x:c>
      <x:c r="D222" s="1" t="n">
        <x:v>1022</x:v>
      </x:c>
      <x:c r="E222" s="1" t="n">
        <x:v>1006</x:v>
      </x:c>
      <x:c r="F222" s="1" t="n">
        <x:v>16</x:v>
      </x:c>
      <x:c r="G222" s="1" t="n">
        <x:v>675</x:v>
      </x:c>
      <x:c r="H222" s="1" t="n">
        <x:v>331</x:v>
      </x:c>
      <x:c r="I222" s="1"/>
    </x:row>
    <x:row r="223" ht="23" customHeight="1">
      <x:c r="A223" s="1" t="n">
        <x:v>2024</x:v>
      </x:c>
      <x:c r="B223" s="1" t="str">
        <x:v>Rockhampton-Brisbane</x:v>
      </x:c>
      <x:c r="C223" s="1" t="n">
        <x:v>12</x:v>
      </x:c>
      <x:c r="D223" s="1" t="n">
        <x:v>4038</x:v>
      </x:c>
      <x:c r="E223" s="1" t="n">
        <x:v>3933</x:v>
      </x:c>
      <x:c r="F223" s="1" t="n">
        <x:v>105</x:v>
      </x:c>
      <x:c r="G223" s="1" t="n">
        <x:v>2610</x:v>
      </x:c>
      <x:c r="H223" s="1" t="n">
        <x:v>1323</x:v>
      </x:c>
      <x:c r="I223" s="1"/>
    </x:row>
    <x:row r="224" ht="23" customHeight="1">
      <x:c r="A224" s="1" t="n">
        <x:v>2024</x:v>
      </x:c>
      <x:c r="B224" s="1" t="str">
        <x:v>Sunshine Coast-Melbourne</x:v>
      </x:c>
      <x:c r="C224" s="1" t="n">
        <x:v>12</x:v>
      </x:c>
      <x:c r="D224" s="1" t="n">
        <x:v>2233</x:v>
      </x:c>
      <x:c r="E224" s="1" t="n">
        <x:v>2222</x:v>
      </x:c>
      <x:c r="F224" s="1" t="n">
        <x:v>11</x:v>
      </x:c>
      <x:c r="G224" s="1" t="n">
        <x:v>1512</x:v>
      </x:c>
      <x:c r="H224" s="1" t="n">
        <x:v>710</x:v>
      </x:c>
      <x:c r="I224" s="1"/>
    </x:row>
    <x:row r="225" ht="23" customHeight="1">
      <x:c r="A225" s="1" t="n">
        <x:v>2024</x:v>
      </x:c>
      <x:c r="B225" s="1" t="str">
        <x:v>Sunshine Coast-Sydney</x:v>
      </x:c>
      <x:c r="C225" s="1" t="n">
        <x:v>12</x:v>
      </x:c>
      <x:c r="D225" s="1" t="n">
        <x:v>2597</x:v>
      </x:c>
      <x:c r="E225" s="1" t="n">
        <x:v>2564</x:v>
      </x:c>
      <x:c r="F225" s="1" t="n">
        <x:v>33</x:v>
      </x:c>
      <x:c r="G225" s="1" t="n">
        <x:v>1730</x:v>
      </x:c>
      <x:c r="H225" s="1" t="n">
        <x:v>834</x:v>
      </x:c>
      <x:c r="I225" s="1"/>
    </x:row>
    <x:row r="226" ht="23" customHeight="1">
      <x:c r="A226" s="1" t="n">
        <x:v>2024</x:v>
      </x:c>
      <x:c r="B226" s="1" t="str">
        <x:v>Sydney-Adelaide</x:v>
      </x:c>
      <x:c r="C226" s="1" t="n">
        <x:v>12</x:v>
      </x:c>
      <x:c r="D226" s="1" t="n">
        <x:v>6801</x:v>
      </x:c>
      <x:c r="E226" s="1" t="n">
        <x:v>6597</x:v>
      </x:c>
      <x:c r="F226" s="1" t="n">
        <x:v>204</x:v>
      </x:c>
      <x:c r="G226" s="1" t="n">
        <x:v>4881</x:v>
      </x:c>
      <x:c r="H226" s="1" t="n">
        <x:v>1716</x:v>
      </x:c>
      <x:c r="I226" s="1"/>
    </x:row>
    <x:row r="227" ht="23" customHeight="1">
      <x:c r="A227" s="1" t="n">
        <x:v>2024</x:v>
      </x:c>
      <x:c r="B227" s="1" t="str">
        <x:v>Sydney-Albury</x:v>
      </x:c>
      <x:c r="C227" s="1" t="n">
        <x:v>12</x:v>
      </x:c>
      <x:c r="D227" s="1" t="n">
        <x:v>2138</x:v>
      </x:c>
      <x:c r="E227" s="1" t="n">
        <x:v>2113</x:v>
      </x:c>
      <x:c r="F227" s="1" t="n">
        <x:v>25</x:v>
      </x:c>
      <x:c r="G227" s="1" t="n">
        <x:v>1645</x:v>
      </x:c>
      <x:c r="H227" s="1" t="n">
        <x:v>468</x:v>
      </x:c>
      <x:c r="I227" s="1"/>
    </x:row>
    <x:row r="228" ht="23" customHeight="1">
      <x:c r="A228" s="1" t="n">
        <x:v>2024</x:v>
      </x:c>
      <x:c r="B228" s="1" t="str">
        <x:v>Sydney-Ballina</x:v>
      </x:c>
      <x:c r="C228" s="1" t="n">
        <x:v>12</x:v>
      </x:c>
      <x:c r="D228" s="1" t="n">
        <x:v>2100</x:v>
      </x:c>
      <x:c r="E228" s="1" t="n">
        <x:v>2074</x:v>
      </x:c>
      <x:c r="F228" s="1" t="n">
        <x:v>26</x:v>
      </x:c>
      <x:c r="G228" s="1" t="n">
        <x:v>1706</x:v>
      </x:c>
      <x:c r="H228" s="1" t="n">
        <x:v>368</x:v>
      </x:c>
      <x:c r="I228" s="1"/>
    </x:row>
    <x:row r="229" ht="23" customHeight="1">
      <x:c r="A229" s="1" t="n">
        <x:v>2024</x:v>
      </x:c>
      <x:c r="B229" s="1" t="str">
        <x:v>Sydney-Brisbane</x:v>
      </x:c>
      <x:c r="C229" s="1" t="n">
        <x:v>12</x:v>
      </x:c>
      <x:c r="D229" s="1" t="n">
        <x:v>15086</x:v>
      </x:c>
      <x:c r="E229" s="1" t="n">
        <x:v>14619</x:v>
      </x:c>
      <x:c r="F229" s="1" t="n">
        <x:v>467</x:v>
      </x:c>
      <x:c r="G229" s="1" t="n">
        <x:v>10641</x:v>
      </x:c>
      <x:c r="H229" s="1" t="n">
        <x:v>3978</x:v>
      </x:c>
      <x:c r="I229" s="1"/>
    </x:row>
    <x:row r="230" ht="23" customHeight="1">
      <x:c r="A230" s="1" t="n">
        <x:v>2024</x:v>
      </x:c>
      <x:c r="B230" s="1" t="str">
        <x:v>Sydney-Cairns</x:v>
      </x:c>
      <x:c r="C230" s="1" t="n">
        <x:v>12</x:v>
      </x:c>
      <x:c r="D230" s="1" t="n">
        <x:v>2817</x:v>
      </x:c>
      <x:c r="E230" s="1" t="n">
        <x:v>2797</x:v>
      </x:c>
      <x:c r="F230" s="1" t="n">
        <x:v>20</x:v>
      </x:c>
      <x:c r="G230" s="1" t="n">
        <x:v>2207</x:v>
      </x:c>
      <x:c r="H230" s="1" t="n">
        <x:v>590</x:v>
      </x:c>
      <x:c r="I230" s="1"/>
    </x:row>
    <x:row r="231" ht="23" customHeight="1">
      <x:c r="A231" s="1" t="n">
        <x:v>2024</x:v>
      </x:c>
      <x:c r="B231" s="1" t="str">
        <x:v>Sydney-Canberra</x:v>
      </x:c>
      <x:c r="C231" s="1" t="n">
        <x:v>12</x:v>
      </x:c>
      <x:c r="D231" s="1" t="n">
        <x:v>7659</x:v>
      </x:c>
      <x:c r="E231" s="1" t="n">
        <x:v>7357</x:v>
      </x:c>
      <x:c r="F231" s="1" t="n">
        <x:v>302</x:v>
      </x:c>
      <x:c r="G231" s="1" t="n">
        <x:v>6012</x:v>
      </x:c>
      <x:c r="H231" s="1" t="n">
        <x:v>1345</x:v>
      </x:c>
      <x:c r="I231" s="1"/>
    </x:row>
    <x:row r="232" ht="23" customHeight="1">
      <x:c r="A232" s="1" t="n">
        <x:v>2024</x:v>
      </x:c>
      <x:c r="B232" s="1" t="str">
        <x:v>Sydney-Coffs Harbour</x:v>
      </x:c>
      <x:c r="C232" s="1" t="n">
        <x:v>12</x:v>
      </x:c>
      <x:c r="D232" s="1" t="n">
        <x:v>2374</x:v>
      </x:c>
      <x:c r="E232" s="1" t="n">
        <x:v>2351</x:v>
      </x:c>
      <x:c r="F232" s="1" t="n">
        <x:v>23</x:v>
      </x:c>
      <x:c r="G232" s="1" t="n">
        <x:v>1788</x:v>
      </x:c>
      <x:c r="H232" s="1" t="n">
        <x:v>563</x:v>
      </x:c>
      <x:c r="I232" s="1"/>
    </x:row>
    <x:row r="233" ht="23" customHeight="1">
      <x:c r="A233" s="1" t="n">
        <x:v>2024</x:v>
      </x:c>
      <x:c r="B233" s="1" t="str">
        <x:v>Sydney-Dubbo</x:v>
      </x:c>
      <x:c r="C233" s="1" t="n">
        <x:v>12</x:v>
      </x:c>
      <x:c r="D233" s="1" t="n">
        <x:v>2734</x:v>
      </x:c>
      <x:c r="E233" s="1" t="n">
        <x:v>2661</x:v>
      </x:c>
      <x:c r="F233" s="1" t="n">
        <x:v>73</x:v>
      </x:c>
      <x:c r="G233" s="1" t="n">
        <x:v>1966</x:v>
      </x:c>
      <x:c r="H233" s="1" t="n">
        <x:v>695</x:v>
      </x:c>
      <x:c r="I233" s="1"/>
    </x:row>
    <x:row r="234" ht="23" customHeight="1">
      <x:c r="A234" s="1" t="n">
        <x:v>2024</x:v>
      </x:c>
      <x:c r="B234" s="1" t="str">
        <x:v>Sydney-Gold Coast</x:v>
      </x:c>
      <x:c r="C234" s="1" t="n">
        <x:v>12</x:v>
      </x:c>
      <x:c r="D234" s="1" t="n">
        <x:v>8179</x:v>
      </x:c>
      <x:c r="E234" s="1" t="n">
        <x:v>8050</x:v>
      </x:c>
      <x:c r="F234" s="1" t="n">
        <x:v>129</x:v>
      </x:c>
      <x:c r="G234" s="1" t="n">
        <x:v>6088</x:v>
      </x:c>
      <x:c r="H234" s="1" t="n">
        <x:v>1962</x:v>
      </x:c>
      <x:c r="I234" s="1"/>
    </x:row>
    <x:row r="235" ht="23" customHeight="1">
      <x:c r="A235" s="1" t="n">
        <x:v>2024</x:v>
      </x:c>
      <x:c r="B235" s="1" t="str">
        <x:v>Sydney-Hamilton Island</x:v>
      </x:c>
      <x:c r="C235" s="1" t="n">
        <x:v>12</x:v>
      </x:c>
      <x:c r="D235" s="1" t="n">
        <x:v>902</x:v>
      </x:c>
      <x:c r="E235" s="1" t="n">
        <x:v>896</x:v>
      </x:c>
      <x:c r="F235" s="1" t="n">
        <x:v>6</x:v>
      </x:c>
      <x:c r="G235" s="1" t="n">
        <x:v>635</x:v>
      </x:c>
      <x:c r="H235" s="1" t="n">
        <x:v>261</x:v>
      </x:c>
      <x:c r="I235" s="1"/>
    </x:row>
    <x:row r="236" ht="23" customHeight="1">
      <x:c r="A236" s="1" t="n">
        <x:v>2024</x:v>
      </x:c>
      <x:c r="B236" s="1" t="str">
        <x:v>Sydney-Hobart</x:v>
      </x:c>
      <x:c r="C236" s="1" t="n">
        <x:v>12</x:v>
      </x:c>
      <x:c r="D236" s="1" t="n">
        <x:v>2885</x:v>
      </x:c>
      <x:c r="E236" s="1" t="n">
        <x:v>2848</x:v>
      </x:c>
      <x:c r="F236" s="1" t="n">
        <x:v>37</x:v>
      </x:c>
      <x:c r="G236" s="1" t="n">
        <x:v>2259</x:v>
      </x:c>
      <x:c r="H236" s="1" t="n">
        <x:v>589</x:v>
      </x:c>
      <x:c r="I236" s="1"/>
    </x:row>
    <x:row r="237" ht="23" customHeight="1">
      <x:c r="A237" s="1" t="n">
        <x:v>2024</x:v>
      </x:c>
      <x:c r="B237" s="1" t="str">
        <x:v>Sydney-Launceston</x:v>
      </x:c>
      <x:c r="C237" s="1" t="n">
        <x:v>12</x:v>
      </x:c>
      <x:c r="D237" s="1" t="n">
        <x:v>1251</x:v>
      </x:c>
      <x:c r="E237" s="1" t="n">
        <x:v>1230</x:v>
      </x:c>
      <x:c r="F237" s="1" t="n">
        <x:v>21</x:v>
      </x:c>
      <x:c r="G237" s="1" t="n">
        <x:v>962</x:v>
      </x:c>
      <x:c r="H237" s="1" t="n">
        <x:v>268</x:v>
      </x:c>
      <x:c r="I237" s="1"/>
    </x:row>
    <x:row r="238" ht="23" customHeight="1">
      <x:c r="A238" s="1" t="n">
        <x:v>2024</x:v>
      </x:c>
      <x:c r="B238" s="1" t="str">
        <x:v>Sydney-Melbourne</x:v>
      </x:c>
      <x:c r="C238" s="1" t="n">
        <x:v>12</x:v>
      </x:c>
      <x:c r="D238" s="1" t="n">
        <x:v>26286</x:v>
      </x:c>
      <x:c r="E238" s="1" t="n">
        <x:v>24757</x:v>
      </x:c>
      <x:c r="F238" s="1" t="n">
        <x:v>1529</x:v>
      </x:c>
      <x:c r="G238" s="1" t="n">
        <x:v>18047</x:v>
      </x:c>
      <x:c r="H238" s="1" t="n">
        <x:v>6710</x:v>
      </x:c>
      <x:c r="I238" s="1"/>
    </x:row>
    <x:row r="239" ht="23" customHeight="1">
      <x:c r="A239" s="1" t="n">
        <x:v>2024</x:v>
      </x:c>
      <x:c r="B239" s="1" t="str">
        <x:v>Sydney-Perth</x:v>
      </x:c>
      <x:c r="C239" s="1" t="n">
        <x:v>12</x:v>
      </x:c>
      <x:c r="D239" s="1" t="n">
        <x:v>5032</x:v>
      </x:c>
      <x:c r="E239" s="1" t="n">
        <x:v>4967</x:v>
      </x:c>
      <x:c r="F239" s="1" t="n">
        <x:v>65</x:v>
      </x:c>
      <x:c r="G239" s="1" t="n">
        <x:v>3348</x:v>
      </x:c>
      <x:c r="H239" s="1" t="n">
        <x:v>1619</x:v>
      </x:c>
      <x:c r="I239" s="1"/>
    </x:row>
    <x:row r="240" ht="23" customHeight="1">
      <x:c r="A240" s="1" t="n">
        <x:v>2024</x:v>
      </x:c>
      <x:c r="B240" s="1" t="str">
        <x:v>Sydney-Port Macquarie</x:v>
      </x:c>
      <x:c r="C240" s="1" t="n">
        <x:v>12</x:v>
      </x:c>
      <x:c r="D240" s="1" t="n">
        <x:v>2055</x:v>
      </x:c>
      <x:c r="E240" s="1" t="n">
        <x:v>2013</x:v>
      </x:c>
      <x:c r="F240" s="1" t="n">
        <x:v>42</x:v>
      </x:c>
      <x:c r="G240" s="1" t="n">
        <x:v>1574</x:v>
      </x:c>
      <x:c r="H240" s="1" t="n">
        <x:v>439</x:v>
      </x:c>
      <x:c r="I240" s="1"/>
    </x:row>
    <x:row r="241" ht="23" customHeight="1">
      <x:c r="A241" s="1" t="n">
        <x:v>2024</x:v>
      </x:c>
      <x:c r="B241" s="1" t="str">
        <x:v>Sydney-Sunshine Coast</x:v>
      </x:c>
      <x:c r="C241" s="1" t="n">
        <x:v>12</x:v>
      </x:c>
      <x:c r="D241" s="1" t="n">
        <x:v>2589</x:v>
      </x:c>
      <x:c r="E241" s="1" t="n">
        <x:v>2574</x:v>
      </x:c>
      <x:c r="F241" s="1" t="n">
        <x:v>15</x:v>
      </x:c>
      <x:c r="G241" s="1" t="n">
        <x:v>1927</x:v>
      </x:c>
      <x:c r="H241" s="1" t="n">
        <x:v>647</x:v>
      </x:c>
      <x:c r="I241" s="1"/>
    </x:row>
    <x:row r="242" ht="23" customHeight="1">
      <x:c r="A242" s="1" t="n">
        <x:v>2024</x:v>
      </x:c>
      <x:c r="B242" s="1" t="str">
        <x:v>Sydney-Wagga Wagga</x:v>
      </x:c>
      <x:c r="C242" s="1" t="n">
        <x:v>12</x:v>
      </x:c>
      <x:c r="D242" s="1" t="n">
        <x:v>2299</x:v>
      </x:c>
      <x:c r="E242" s="1" t="n">
        <x:v>2262</x:v>
      </x:c>
      <x:c r="F242" s="1" t="n">
        <x:v>37</x:v>
      </x:c>
      <x:c r="G242" s="1" t="n">
        <x:v>1832</x:v>
      </x:c>
      <x:c r="H242" s="1" t="n">
        <x:v>430</x:v>
      </x:c>
      <x:c r="I242" s="1"/>
    </x:row>
    <x:row r="243" ht="23" customHeight="1">
      <x:c r="A243" s="1" t="n">
        <x:v>2024</x:v>
      </x:c>
      <x:c r="B243" s="1" t="str">
        <x:v>Townsville-Brisbane</x:v>
      </x:c>
      <x:c r="C243" s="1" t="n">
        <x:v>12</x:v>
      </x:c>
      <x:c r="D243" s="1" t="n">
        <x:v>4232</x:v>
      </x:c>
      <x:c r="E243" s="1" t="n">
        <x:v>4169</x:v>
      </x:c>
      <x:c r="F243" s="1" t="n">
        <x:v>63</x:v>
      </x:c>
      <x:c r="G243" s="1" t="n">
        <x:v>2792</x:v>
      </x:c>
      <x:c r="H243" s="1" t="n">
        <x:v>1377</x:v>
      </x:c>
      <x:c r="I243" s="1"/>
    </x:row>
    <x:row r="244" ht="23" customHeight="1">
      <x:c r="A244" s="1" t="n">
        <x:v>2024</x:v>
      </x:c>
      <x:c r="B244" s="1" t="str">
        <x:v>Townsville-Cairns</x:v>
      </x:c>
      <x:c r="C244" s="1" t="n">
        <x:v>12</x:v>
      </x:c>
      <x:c r="D244" s="1" t="n">
        <x:v>1812</x:v>
      </x:c>
      <x:c r="E244" s="1" t="n">
        <x:v>1731</x:v>
      </x:c>
      <x:c r="F244" s="1" t="n">
        <x:v>81</x:v>
      </x:c>
      <x:c r="G244" s="1" t="n">
        <x:v>1500</x:v>
      </x:c>
      <x:c r="H244" s="1" t="n">
        <x:v>231</x:v>
      </x:c>
      <x:c r="I244" s="1"/>
    </x:row>
    <x:row r="245" ht="23" customHeight="1">
      <x:c r="A245" s="1" t="n">
        <x:v>2024</x:v>
      </x:c>
      <x:c r="B245" s="1" t="str">
        <x:v>Wagga Wagga-Sydney</x:v>
      </x:c>
      <x:c r="C245" s="1" t="n">
        <x:v>12</x:v>
      </x:c>
      <x:c r="D245" s="1" t="n">
        <x:v>2294</x:v>
      </x:c>
      <x:c r="E245" s="1" t="n">
        <x:v>2247</x:v>
      </x:c>
      <x:c r="F245" s="1" t="n">
        <x:v>47</x:v>
      </x:c>
      <x:c r="G245" s="1" t="n">
        <x:v>1824</x:v>
      </x:c>
      <x:c r="H245" s="1" t="n">
        <x:v>423</x:v>
      </x:c>
      <x:c r="I245" s="1"/>
    </x:row>
    <x:row r="246" ht="23" customHeight="1">
      <x:c r="A246" s="1" t="n">
        <x:v>2025</x:v>
      </x:c>
      <x:c r="B246" s="1" t="str">
        <x:v>Adelaide-Alice Springs</x:v>
      </x:c>
      <x:c r="C246" s="1" t="n">
        <x:v>12</x:v>
      </x:c>
      <x:c r="D246" s="1" t="n">
        <x:v>618</x:v>
      </x:c>
      <x:c r="E246" s="1" t="n">
        <x:v>612</x:v>
      </x:c>
      <x:c r="F246" s="1" t="n">
        <x:v>6</x:v>
      </x:c>
      <x:c r="G246" s="1" t="n">
        <x:v>462</x:v>
      </x:c>
      <x:c r="H246" s="1" t="n">
        <x:v>150</x:v>
      </x:c>
      <x:c r="I246" s="1"/>
    </x:row>
    <x:row r="247" ht="23" customHeight="1">
      <x:c r="A247" s="1" t="n">
        <x:v>2025</x:v>
      </x:c>
      <x:c r="B247" s="1" t="str">
        <x:v>Adelaide-Brisbane</x:v>
      </x:c>
      <x:c r="C247" s="1" t="n">
        <x:v>12</x:v>
      </x:c>
      <x:c r="D247" s="1" t="n">
        <x:v>3967</x:v>
      </x:c>
      <x:c r="E247" s="1" t="n">
        <x:v>3884</x:v>
      </x:c>
      <x:c r="F247" s="1" t="n">
        <x:v>83</x:v>
      </x:c>
      <x:c r="G247" s="1" t="n">
        <x:v>3107</x:v>
      </x:c>
      <x:c r="H247" s="1" t="n">
        <x:v>777</x:v>
      </x:c>
      <x:c r="I247" s="1"/>
    </x:row>
    <x:row r="248" ht="23" customHeight="1">
      <x:c r="A248" s="1" t="n">
        <x:v>2025</x:v>
      </x:c>
      <x:c r="B248" s="1" t="str">
        <x:v>Adelaide-Canberra</x:v>
      </x:c>
      <x:c r="C248" s="1" t="n">
        <x:v>12</x:v>
      </x:c>
      <x:c r="D248" s="1" t="n">
        <x:v>1302</x:v>
      </x:c>
      <x:c r="E248" s="1" t="n">
        <x:v>1284</x:v>
      </x:c>
      <x:c r="F248" s="1" t="n">
        <x:v>18</x:v>
      </x:c>
      <x:c r="G248" s="1" t="n">
        <x:v>1068</x:v>
      </x:c>
      <x:c r="H248" s="1" t="n">
        <x:v>216</x:v>
      </x:c>
      <x:c r="I248" s="1"/>
    </x:row>
    <x:row r="249" ht="23" customHeight="1">
      <x:c r="A249" s="1" t="n">
        <x:v>2025</x:v>
      </x:c>
      <x:c r="B249" s="1" t="str">
        <x:v>Adelaide-Gold Coast</x:v>
      </x:c>
      <x:c r="C249" s="1" t="n">
        <x:v>12</x:v>
      </x:c>
      <x:c r="D249" s="1" t="n">
        <x:v>779</x:v>
      </x:c>
      <x:c r="E249" s="1" t="n">
        <x:v>770</x:v>
      </x:c>
      <x:c r="F249" s="1" t="n">
        <x:v>9</x:v>
      </x:c>
      <x:c r="G249" s="1" t="n">
        <x:v>652</x:v>
      </x:c>
      <x:c r="H249" s="1" t="n">
        <x:v>118</x:v>
      </x:c>
      <x:c r="I249" s="1"/>
    </x:row>
    <x:row r="250" ht="23" customHeight="1">
      <x:c r="A250" s="1" t="n">
        <x:v>2025</x:v>
      </x:c>
      <x:c r="B250" s="1" t="str">
        <x:v>Adelaide-Melbourne</x:v>
      </x:c>
      <x:c r="C250" s="1" t="n">
        <x:v>12</x:v>
      </x:c>
      <x:c r="D250" s="1" t="n">
        <x:v>8159</x:v>
      </x:c>
      <x:c r="E250" s="1" t="n">
        <x:v>8047</x:v>
      </x:c>
      <x:c r="F250" s="1" t="n">
        <x:v>112</x:v>
      </x:c>
      <x:c r="G250" s="1" t="n">
        <x:v>6287</x:v>
      </x:c>
      <x:c r="H250" s="1" t="n">
        <x:v>1760</x:v>
      </x:c>
      <x:c r="I250" s="1"/>
    </x:row>
    <x:row r="251" ht="23" customHeight="1">
      <x:c r="A251" s="1" t="n">
        <x:v>2025</x:v>
      </x:c>
      <x:c r="B251" s="1" t="str">
        <x:v>Adelaide-Perth</x:v>
      </x:c>
      <x:c r="C251" s="1" t="n">
        <x:v>12</x:v>
      </x:c>
      <x:c r="D251" s="1" t="n">
        <x:v>2288</x:v>
      </x:c>
      <x:c r="E251" s="1" t="n">
        <x:v>2275</x:v>
      </x:c>
      <x:c r="F251" s="1" t="n">
        <x:v>13</x:v>
      </x:c>
      <x:c r="G251" s="1" t="n">
        <x:v>1732</x:v>
      </x:c>
      <x:c r="H251" s="1" t="n">
        <x:v>543</x:v>
      </x:c>
      <x:c r="I251" s="1"/>
    </x:row>
    <x:row r="252" ht="23" customHeight="1">
      <x:c r="A252" s="1" t="n">
        <x:v>2025</x:v>
      </x:c>
      <x:c r="B252" s="1" t="str">
        <x:v>Adelaide-Port Lincoln</x:v>
      </x:c>
      <x:c r="C252" s="1" t="n">
        <x:v>12</x:v>
      </x:c>
      <x:c r="D252" s="1" t="n">
        <x:v>2980</x:v>
      </x:c>
      <x:c r="E252" s="1" t="n">
        <x:v>2858</x:v>
      </x:c>
      <x:c r="F252" s="1" t="n">
        <x:v>122</x:v>
      </x:c>
      <x:c r="G252" s="1" t="n">
        <x:v>2248</x:v>
      </x:c>
      <x:c r="H252" s="1" t="n">
        <x:v>610</x:v>
      </x:c>
      <x:c r="I252" s="1"/>
    </x:row>
    <x:row r="253" ht="23" customHeight="1">
      <x:c r="A253" s="1" t="n">
        <x:v>2025</x:v>
      </x:c>
      <x:c r="B253" s="1" t="str">
        <x:v>Adelaide-Sydney</x:v>
      </x:c>
      <x:c r="C253" s="1" t="n">
        <x:v>12</x:v>
      </x:c>
      <x:c r="D253" s="1" t="n">
        <x:v>6630</x:v>
      </x:c>
      <x:c r="E253" s="1" t="n">
        <x:v>6461</x:v>
      </x:c>
      <x:c r="F253" s="1" t="n">
        <x:v>169</x:v>
      </x:c>
      <x:c r="G253" s="1" t="n">
        <x:v>4804</x:v>
      </x:c>
      <x:c r="H253" s="1" t="n">
        <x:v>1657</x:v>
      </x:c>
      <x:c r="I253" s="1"/>
    </x:row>
    <x:row r="254" ht="23" customHeight="1">
      <x:c r="A254" s="1" t="n">
        <x:v>2025</x:v>
      </x:c>
      <x:c r="B254" s="1" t="str">
        <x:v>Albury-Sydney</x:v>
      </x:c>
      <x:c r="C254" s="1" t="n">
        <x:v>12</x:v>
      </x:c>
      <x:c r="D254" s="1" t="n">
        <x:v>1918</x:v>
      </x:c>
      <x:c r="E254" s="1" t="n">
        <x:v>1884</x:v>
      </x:c>
      <x:c r="F254" s="1" t="n">
        <x:v>34</x:v>
      </x:c>
      <x:c r="G254" s="1" t="n">
        <x:v>1487</x:v>
      </x:c>
      <x:c r="H254" s="1" t="n">
        <x:v>397</x:v>
      </x:c>
      <x:c r="I254" s="1"/>
    </x:row>
    <x:row r="255" ht="23" customHeight="1">
      <x:c r="A255" s="1" t="n">
        <x:v>2025</x:v>
      </x:c>
      <x:c r="B255" s="1" t="str">
        <x:v>Alice Springs-Adelaide</x:v>
      </x:c>
      <x:c r="C255" s="1" t="n">
        <x:v>12</x:v>
      </x:c>
      <x:c r="D255" s="1" t="n">
        <x:v>617</x:v>
      </x:c>
      <x:c r="E255" s="1" t="n">
        <x:v>610</x:v>
      </x:c>
      <x:c r="F255" s="1" t="n">
        <x:v>7</x:v>
      </x:c>
      <x:c r="G255" s="1" t="n">
        <x:v>455</x:v>
      </x:c>
      <x:c r="H255" s="1" t="n">
        <x:v>155</x:v>
      </x:c>
      <x:c r="I255" s="1"/>
    </x:row>
    <x:row r="256" ht="23" customHeight="1">
      <x:c r="A256" s="1" t="n">
        <x:v>2025</x:v>
      </x:c>
      <x:c r="B256" s="1" t="str">
        <x:v>Ayers Rock-Melbourne</x:v>
      </x:c>
      <x:c r="C256" s="1" t="n">
        <x:v>11</x:v>
      </x:c>
      <x:c r="D256" s="1" t="n">
        <x:v>342</x:v>
      </x:c>
      <x:c r="E256" s="1" t="n">
        <x:v>341</x:v>
      </x:c>
      <x:c r="F256" s="1" t="n">
        <x:v>1</x:v>
      </x:c>
      <x:c r="G256" s="1" t="n">
        <x:v>306</x:v>
      </x:c>
      <x:c r="H256" s="1" t="n">
        <x:v>35</x:v>
      </x:c>
      <x:c r="I256" s="1"/>
    </x:row>
    <x:row r="257" ht="23" customHeight="1">
      <x:c r="A257" s="1" t="n">
        <x:v>2025</x:v>
      </x:c>
      <x:c r="B257" s="1" t="str">
        <x:v>Ballina-Sydney</x:v>
      </x:c>
      <x:c r="C257" s="1" t="n">
        <x:v>12</x:v>
      </x:c>
      <x:c r="D257" s="1" t="n">
        <x:v>1791</x:v>
      </x:c>
      <x:c r="E257" s="1" t="n">
        <x:v>1740</x:v>
      </x:c>
      <x:c r="F257" s="1" t="n">
        <x:v>51</x:v>
      </x:c>
      <x:c r="G257" s="1" t="n">
        <x:v>1318</x:v>
      </x:c>
      <x:c r="H257" s="1" t="n">
        <x:v>422</x:v>
      </x:c>
      <x:c r="I257" s="1"/>
    </x:row>
    <x:row r="258" ht="23" customHeight="1">
      <x:c r="A258" s="1" t="n">
        <x:v>2025</x:v>
      </x:c>
      <x:c r="B258" s="1" t="str">
        <x:v>Brisbane-Adelaide</x:v>
      </x:c>
      <x:c r="C258" s="1" t="n">
        <x:v>12</x:v>
      </x:c>
      <x:c r="D258" s="1" t="n">
        <x:v>3964</x:v>
      </x:c>
      <x:c r="E258" s="1" t="n">
        <x:v>3887</x:v>
      </x:c>
      <x:c r="F258" s="1" t="n">
        <x:v>77</x:v>
      </x:c>
      <x:c r="G258" s="1" t="n">
        <x:v>2880</x:v>
      </x:c>
      <x:c r="H258" s="1" t="n">
        <x:v>1007</x:v>
      </x:c>
      <x:c r="I258" s="1"/>
    </x:row>
    <x:row r="259" ht="23" customHeight="1">
      <x:c r="A259" s="1" t="n">
        <x:v>2025</x:v>
      </x:c>
      <x:c r="B259" s="1" t="str">
        <x:v>Brisbane-Cairns</x:v>
      </x:c>
      <x:c r="C259" s="1" t="n">
        <x:v>12</x:v>
      </x:c>
      <x:c r="D259" s="1" t="n">
        <x:v>5213</x:v>
      </x:c>
      <x:c r="E259" s="1" t="n">
        <x:v>5159</x:v>
      </x:c>
      <x:c r="F259" s="1" t="n">
        <x:v>54</x:v>
      </x:c>
      <x:c r="G259" s="1" t="n">
        <x:v>3925</x:v>
      </x:c>
      <x:c r="H259" s="1" t="n">
        <x:v>1234</x:v>
      </x:c>
      <x:c r="I259" s="1"/>
    </x:row>
    <x:row r="260" ht="23" customHeight="1">
      <x:c r="A260" s="1" t="n">
        <x:v>2025</x:v>
      </x:c>
      <x:c r="B260" s="1" t="str">
        <x:v>Brisbane-Canberra</x:v>
      </x:c>
      <x:c r="C260" s="1" t="n">
        <x:v>12</x:v>
      </x:c>
      <x:c r="D260" s="1" t="n">
        <x:v>3559</x:v>
      </x:c>
      <x:c r="E260" s="1" t="n">
        <x:v>3474</x:v>
      </x:c>
      <x:c r="F260" s="1" t="n">
        <x:v>85</x:v>
      </x:c>
      <x:c r="G260" s="1" t="n">
        <x:v>2706</x:v>
      </x:c>
      <x:c r="H260" s="1" t="n">
        <x:v>768</x:v>
      </x:c>
      <x:c r="I260" s="1"/>
    </x:row>
    <x:row r="261" ht="23" customHeight="1">
      <x:c r="A261" s="1" t="n">
        <x:v>2025</x:v>
      </x:c>
      <x:c r="B261" s="1" t="str">
        <x:v>Brisbane-Darwin</x:v>
      </x:c>
      <x:c r="C261" s="1" t="n">
        <x:v>12</x:v>
      </x:c>
      <x:c r="D261" s="1" t="n">
        <x:v>1246</x:v>
      </x:c>
      <x:c r="E261" s="1" t="n">
        <x:v>1233</x:v>
      </x:c>
      <x:c r="F261" s="1" t="n">
        <x:v>13</x:v>
      </x:c>
      <x:c r="G261" s="1" t="n">
        <x:v>1007</x:v>
      </x:c>
      <x:c r="H261" s="1" t="n">
        <x:v>226</x:v>
      </x:c>
      <x:c r="I261" s="1"/>
    </x:row>
    <x:row r="262" ht="23" customHeight="1">
      <x:c r="A262" s="1" t="n">
        <x:v>2025</x:v>
      </x:c>
      <x:c r="B262" s="1" t="str">
        <x:v>Brisbane-Emerald</x:v>
      </x:c>
      <x:c r="C262" s="1" t="n">
        <x:v>12</x:v>
      </x:c>
      <x:c r="D262" s="1" t="n">
        <x:v>1730</x:v>
      </x:c>
      <x:c r="E262" s="1" t="n">
        <x:v>1678</x:v>
      </x:c>
      <x:c r="F262" s="1" t="n">
        <x:v>52</x:v>
      </x:c>
      <x:c r="G262" s="1" t="n">
        <x:v>1447</x:v>
      </x:c>
      <x:c r="H262" s="1" t="n">
        <x:v>231</x:v>
      </x:c>
      <x:c r="I262" s="1"/>
    </x:row>
    <x:row r="263" ht="23" customHeight="1">
      <x:c r="A263" s="1" t="n">
        <x:v>2025</x:v>
      </x:c>
      <x:c r="B263" s="1" t="str">
        <x:v>Brisbane-Gladstone</x:v>
      </x:c>
      <x:c r="C263" s="1" t="n">
        <x:v>12</x:v>
      </x:c>
      <x:c r="D263" s="1" t="n">
        <x:v>1929</x:v>
      </x:c>
      <x:c r="E263" s="1" t="n">
        <x:v>1860</x:v>
      </x:c>
      <x:c r="F263" s="1" t="n">
        <x:v>69</x:v>
      </x:c>
      <x:c r="G263" s="1" t="n">
        <x:v>1486</x:v>
      </x:c>
      <x:c r="H263" s="1" t="n">
        <x:v>374</x:v>
      </x:c>
      <x:c r="I263" s="1"/>
    </x:row>
    <x:row r="264" ht="23" customHeight="1">
      <x:c r="A264" s="1" t="n">
        <x:v>2025</x:v>
      </x:c>
      <x:c r="B264" s="1" t="str">
        <x:v>Brisbane-Hamilton Island</x:v>
      </x:c>
      <x:c r="C264" s="1" t="n">
        <x:v>12</x:v>
      </x:c>
      <x:c r="D264" s="1" t="n">
        <x:v>765</x:v>
      </x:c>
      <x:c r="E264" s="1" t="n">
        <x:v>757</x:v>
      </x:c>
      <x:c r="F264" s="1" t="n">
        <x:v>8</x:v>
      </x:c>
      <x:c r="G264" s="1" t="n">
        <x:v>610</x:v>
      </x:c>
      <x:c r="H264" s="1" t="n">
        <x:v>147</x:v>
      </x:c>
      <x:c r="I264" s="1"/>
    </x:row>
    <x:row r="265" ht="23" customHeight="1">
      <x:c r="A265" s="1" t="n">
        <x:v>2025</x:v>
      </x:c>
      <x:c r="B265" s="1" t="str">
        <x:v>Brisbane-Hobart</x:v>
      </x:c>
      <x:c r="C265" s="1" t="n">
        <x:v>12</x:v>
      </x:c>
      <x:c r="D265" s="1" t="n">
        <x:v>1109</x:v>
      </x:c>
      <x:c r="E265" s="1" t="n">
        <x:v>1095</x:v>
      </x:c>
      <x:c r="F265" s="1" t="n">
        <x:v>14</x:v>
      </x:c>
      <x:c r="G265" s="1" t="n">
        <x:v>825</x:v>
      </x:c>
      <x:c r="H265" s="1" t="n">
        <x:v>270</x:v>
      </x:c>
      <x:c r="I265" s="1"/>
    </x:row>
    <x:row r="266" ht="23" customHeight="1">
      <x:c r="A266" s="1" t="n">
        <x:v>2025</x:v>
      </x:c>
      <x:c r="B266" s="1" t="str">
        <x:v>Brisbane-Launceston</x:v>
      </x:c>
      <x:c r="C266" s="1" t="n">
        <x:v>12</x:v>
      </x:c>
      <x:c r="D266" s="1" t="n">
        <x:v>488</x:v>
      </x:c>
      <x:c r="E266" s="1" t="n">
        <x:v>483</x:v>
      </x:c>
      <x:c r="F266" s="1" t="n">
        <x:v>5</x:v>
      </x:c>
      <x:c r="G266" s="1" t="n">
        <x:v>369</x:v>
      </x:c>
      <x:c r="H266" s="1" t="n">
        <x:v>114</x:v>
      </x:c>
      <x:c r="I266" s="1"/>
    </x:row>
    <x:row r="267" ht="23" customHeight="1">
      <x:c r="A267" s="1" t="n">
        <x:v>2025</x:v>
      </x:c>
      <x:c r="B267" s="1" t="str">
        <x:v>Brisbane-Mackay</x:v>
      </x:c>
      <x:c r="C267" s="1" t="n">
        <x:v>12</x:v>
      </x:c>
      <x:c r="D267" s="1" t="n">
        <x:v>3734</x:v>
      </x:c>
      <x:c r="E267" s="1" t="n">
        <x:v>3632</x:v>
      </x:c>
      <x:c r="F267" s="1" t="n">
        <x:v>102</x:v>
      </x:c>
      <x:c r="G267" s="1" t="n">
        <x:v>2780</x:v>
      </x:c>
      <x:c r="H267" s="1" t="n">
        <x:v>852</x:v>
      </x:c>
      <x:c r="I267" s="1"/>
    </x:row>
    <x:row r="268" ht="23" customHeight="1">
      <x:c r="A268" s="1" t="n">
        <x:v>2025</x:v>
      </x:c>
      <x:c r="B268" s="1" t="str">
        <x:v>Brisbane-Melbourne</x:v>
      </x:c>
      <x:c r="C268" s="1" t="n">
        <x:v>12</x:v>
      </x:c>
      <x:c r="D268" s="1" t="n">
        <x:v>12276</x:v>
      </x:c>
      <x:c r="E268" s="1" t="n">
        <x:v>11857</x:v>
      </x:c>
      <x:c r="F268" s="1" t="n">
        <x:v>419</x:v>
      </x:c>
      <x:c r="G268" s="1" t="n">
        <x:v>8088</x:v>
      </x:c>
      <x:c r="H268" s="1" t="n">
        <x:v>3769</x:v>
      </x:c>
      <x:c r="I268" s="1"/>
    </x:row>
    <x:row r="269" ht="23" customHeight="1">
      <x:c r="A269" s="1" t="n">
        <x:v>2025</x:v>
      </x:c>
      <x:c r="B269" s="1" t="str">
        <x:v>Brisbane-Mount Isa</x:v>
      </x:c>
      <x:c r="C269" s="1" t="n">
        <x:v>12</x:v>
      </x:c>
      <x:c r="D269" s="1" t="n">
        <x:v>969</x:v>
      </x:c>
      <x:c r="E269" s="1" t="n">
        <x:v>956</x:v>
      </x:c>
      <x:c r="F269" s="1" t="n">
        <x:v>13</x:v>
      </x:c>
      <x:c r="G269" s="1" t="n">
        <x:v>779</x:v>
      </x:c>
      <x:c r="H269" s="1" t="n">
        <x:v>177</x:v>
      </x:c>
      <x:c r="I269" s="1"/>
    </x:row>
    <x:row r="270" ht="23" customHeight="1">
      <x:c r="A270" s="1" t="n">
        <x:v>2025</x:v>
      </x:c>
      <x:c r="B270" s="1" t="str">
        <x:v>Brisbane-Newcastle</x:v>
      </x:c>
      <x:c r="C270" s="1" t="n">
        <x:v>12</x:v>
      </x:c>
      <x:c r="D270" s="1" t="n">
        <x:v>2651</x:v>
      </x:c>
      <x:c r="E270" s="1" t="n">
        <x:v>2610</x:v>
      </x:c>
      <x:c r="F270" s="1" t="n">
        <x:v>41</x:v>
      </x:c>
      <x:c r="G270" s="1" t="n">
        <x:v>1975</x:v>
      </x:c>
      <x:c r="H270" s="1" t="n">
        <x:v>635</x:v>
      </x:c>
      <x:c r="I270" s="1"/>
    </x:row>
    <x:row r="271" ht="23" customHeight="1">
      <x:c r="A271" s="1" t="n">
        <x:v>2025</x:v>
      </x:c>
      <x:c r="B271" s="1" t="str">
        <x:v>Brisbane-Perth</x:v>
      </x:c>
      <x:c r="C271" s="1" t="n">
        <x:v>12</x:v>
      </x:c>
      <x:c r="D271" s="1" t="n">
        <x:v>3817</x:v>
      </x:c>
      <x:c r="E271" s="1" t="n">
        <x:v>3754</x:v>
      </x:c>
      <x:c r="F271" s="1" t="n">
        <x:v>63</x:v>
      </x:c>
      <x:c r="G271" s="1" t="n">
        <x:v>2498</x:v>
      </x:c>
      <x:c r="H271" s="1" t="n">
        <x:v>1256</x:v>
      </x:c>
      <x:c r="I271" s="1"/>
    </x:row>
    <x:row r="272" ht="23" customHeight="1">
      <x:c r="A272" s="1" t="n">
        <x:v>2025</x:v>
      </x:c>
      <x:c r="B272" s="1" t="str">
        <x:v>Brisbane-Proserpine</x:v>
      </x:c>
      <x:c r="C272" s="1" t="n">
        <x:v>12</x:v>
      </x:c>
      <x:c r="D272" s="1" t="n">
        <x:v>996</x:v>
      </x:c>
      <x:c r="E272" s="1" t="n">
        <x:v>978</x:v>
      </x:c>
      <x:c r="F272" s="1" t="n">
        <x:v>18</x:v>
      </x:c>
      <x:c r="G272" s="1" t="n">
        <x:v>717</x:v>
      </x:c>
      <x:c r="H272" s="1" t="n">
        <x:v>261</x:v>
      </x:c>
      <x:c r="I272" s="1"/>
    </x:row>
    <x:row r="273" ht="23" customHeight="1">
      <x:c r="A273" s="1" t="n">
        <x:v>2025</x:v>
      </x:c>
      <x:c r="B273" s="1" t="str">
        <x:v>Brisbane-Rockhampton</x:v>
      </x:c>
      <x:c r="C273" s="1" t="n">
        <x:v>12</x:v>
      </x:c>
      <x:c r="D273" s="1" t="n">
        <x:v>3885</x:v>
      </x:c>
      <x:c r="E273" s="1" t="n">
        <x:v>3832</x:v>
      </x:c>
      <x:c r="F273" s="1" t="n">
        <x:v>53</x:v>
      </x:c>
      <x:c r="G273" s="1" t="n">
        <x:v>2797</x:v>
      </x:c>
      <x:c r="H273" s="1" t="n">
        <x:v>1035</x:v>
      </x:c>
      <x:c r="I273" s="1"/>
    </x:row>
    <x:row r="274" ht="23" customHeight="1">
      <x:c r="A274" s="1" t="n">
        <x:v>2025</x:v>
      </x:c>
      <x:c r="B274" s="1" t="str">
        <x:v>Brisbane-Sydney</x:v>
      </x:c>
      <x:c r="C274" s="1" t="n">
        <x:v>12</x:v>
      </x:c>
      <x:c r="D274" s="1" t="n">
        <x:v>14597</x:v>
      </x:c>
      <x:c r="E274" s="1" t="n">
        <x:v>14101</x:v>
      </x:c>
      <x:c r="F274" s="1" t="n">
        <x:v>496</x:v>
      </x:c>
      <x:c r="G274" s="1" t="n">
        <x:v>10292</x:v>
      </x:c>
      <x:c r="H274" s="1" t="n">
        <x:v>3809</x:v>
      </x:c>
      <x:c r="I274" s="1"/>
    </x:row>
    <x:row r="275" ht="23" customHeight="1">
      <x:c r="A275" s="1" t="n">
        <x:v>2025</x:v>
      </x:c>
      <x:c r="B275" s="1" t="str">
        <x:v>Brisbane-Townsville</x:v>
      </x:c>
      <x:c r="C275" s="1" t="n">
        <x:v>12</x:v>
      </x:c>
      <x:c r="D275" s="1" t="n">
        <x:v>4483</x:v>
      </x:c>
      <x:c r="E275" s="1" t="n">
        <x:v>4395</x:v>
      </x:c>
      <x:c r="F275" s="1" t="n">
        <x:v>88</x:v>
      </x:c>
      <x:c r="G275" s="1" t="n">
        <x:v>3253</x:v>
      </x:c>
      <x:c r="H275" s="1" t="n">
        <x:v>1142</x:v>
      </x:c>
      <x:c r="I275" s="1"/>
    </x:row>
    <x:row r="276" ht="23" customHeight="1">
      <x:c r="A276" s="1" t="n">
        <x:v>2025</x:v>
      </x:c>
      <x:c r="B276" s="1" t="str">
        <x:v>Broome-Perth</x:v>
      </x:c>
      <x:c r="C276" s="1" t="n">
        <x:v>12</x:v>
      </x:c>
      <x:c r="D276" s="1" t="n">
        <x:v>1596</x:v>
      </x:c>
      <x:c r="E276" s="1" t="n">
        <x:v>1574</x:v>
      </x:c>
      <x:c r="F276" s="1" t="n">
        <x:v>22</x:v>
      </x:c>
      <x:c r="G276" s="1" t="n">
        <x:v>1106</x:v>
      </x:c>
      <x:c r="H276" s="1" t="n">
        <x:v>468</x:v>
      </x:c>
      <x:c r="I276" s="1"/>
    </x:row>
    <x:row r="277" ht="23" customHeight="1">
      <x:c r="A277" s="1" t="n">
        <x:v>2025</x:v>
      </x:c>
      <x:c r="B277" s="1" t="str">
        <x:v>Cairns-Brisbane</x:v>
      </x:c>
      <x:c r="C277" s="1" t="n">
        <x:v>12</x:v>
      </x:c>
      <x:c r="D277" s="1" t="n">
        <x:v>5219</x:v>
      </x:c>
      <x:c r="E277" s="1" t="n">
        <x:v>5160</x:v>
      </x:c>
      <x:c r="F277" s="1" t="n">
        <x:v>59</x:v>
      </x:c>
      <x:c r="G277" s="1" t="n">
        <x:v>4073</x:v>
      </x:c>
      <x:c r="H277" s="1" t="n">
        <x:v>1087</x:v>
      </x:c>
      <x:c r="I277" s="1"/>
    </x:row>
    <x:row r="278" ht="23" customHeight="1">
      <x:c r="A278" s="1" t="n">
        <x:v>2025</x:v>
      </x:c>
      <x:c r="B278" s="1" t="str">
        <x:v>Cairns-Melbourne</x:v>
      </x:c>
      <x:c r="C278" s="1" t="n">
        <x:v>12</x:v>
      </x:c>
      <x:c r="D278" s="1" t="n">
        <x:v>2316</x:v>
      </x:c>
      <x:c r="E278" s="1" t="n">
        <x:v>2298</x:v>
      </x:c>
      <x:c r="F278" s="1" t="n">
        <x:v>18</x:v>
      </x:c>
      <x:c r="G278" s="1" t="n">
        <x:v>1813</x:v>
      </x:c>
      <x:c r="H278" s="1" t="n">
        <x:v>485</x:v>
      </x:c>
      <x:c r="I278" s="1"/>
    </x:row>
    <x:row r="279" ht="23" customHeight="1">
      <x:c r="A279" s="1" t="n">
        <x:v>2025</x:v>
      </x:c>
      <x:c r="B279" s="1" t="str">
        <x:v>Cairns-Sydney</x:v>
      </x:c>
      <x:c r="C279" s="1" t="n">
        <x:v>12</x:v>
      </x:c>
      <x:c r="D279" s="1" t="n">
        <x:v>2719</x:v>
      </x:c>
      <x:c r="E279" s="1" t="n">
        <x:v>2697</x:v>
      </x:c>
      <x:c r="F279" s="1" t="n">
        <x:v>22</x:v>
      </x:c>
      <x:c r="G279" s="1" t="n">
        <x:v>2146</x:v>
      </x:c>
      <x:c r="H279" s="1" t="n">
        <x:v>551</x:v>
      </x:c>
      <x:c r="I279" s="1"/>
    </x:row>
    <x:row r="280" ht="23" customHeight="1">
      <x:c r="A280" s="1" t="n">
        <x:v>2025</x:v>
      </x:c>
      <x:c r="B280" s="1" t="str">
        <x:v>Cairns-Townsville</x:v>
      </x:c>
      <x:c r="C280" s="1" t="n">
        <x:v>1</x:v>
      </x:c>
      <x:c r="D280" s="1" t="n">
        <x:v>134</x:v>
      </x:c>
      <x:c r="E280" s="1" t="n">
        <x:v>133</x:v>
      </x:c>
      <x:c r="F280" s="1" t="n">
        <x:v>1</x:v>
      </x:c>
      <x:c r="G280" s="1" t="n">
        <x:v>106</x:v>
      </x:c>
      <x:c r="H280" s="1" t="n">
        <x:v>27</x:v>
      </x:c>
      <x:c r="I280" s="1"/>
    </x:row>
    <x:row r="281" ht="23" customHeight="1">
      <x:c r="A281" s="1" t="n">
        <x:v>2025</x:v>
      </x:c>
      <x:c r="B281" s="1" t="str">
        <x:v>Canberra-Adelaide</x:v>
      </x:c>
      <x:c r="C281" s="1" t="n">
        <x:v>12</x:v>
      </x:c>
      <x:c r="D281" s="1" t="n">
        <x:v>1302</x:v>
      </x:c>
      <x:c r="E281" s="1" t="n">
        <x:v>1280</x:v>
      </x:c>
      <x:c r="F281" s="1" t="n">
        <x:v>22</x:v>
      </x:c>
      <x:c r="G281" s="1" t="n">
        <x:v>1047</x:v>
      </x:c>
      <x:c r="H281" s="1" t="n">
        <x:v>233</x:v>
      </x:c>
      <x:c r="I281" s="1"/>
    </x:row>
    <x:row r="282" ht="23" customHeight="1">
      <x:c r="A282" s="1" t="n">
        <x:v>2025</x:v>
      </x:c>
      <x:c r="B282" s="1" t="str">
        <x:v>Canberra-Brisbane</x:v>
      </x:c>
      <x:c r="C282" s="1" t="n">
        <x:v>12</x:v>
      </x:c>
      <x:c r="D282" s="1" t="n">
        <x:v>3555</x:v>
      </x:c>
      <x:c r="E282" s="1" t="n">
        <x:v>3448</x:v>
      </x:c>
      <x:c r="F282" s="1" t="n">
        <x:v>107</x:v>
      </x:c>
      <x:c r="G282" s="1" t="n">
        <x:v>2715</x:v>
      </x:c>
      <x:c r="H282" s="1" t="n">
        <x:v>733</x:v>
      </x:c>
      <x:c r="I282" s="1"/>
    </x:row>
    <x:row r="283" ht="23" customHeight="1">
      <x:c r="A283" s="1" t="n">
        <x:v>2025</x:v>
      </x:c>
      <x:c r="B283" s="1" t="str">
        <x:v>Canberra-Gold Coast</x:v>
      </x:c>
      <x:c r="C283" s="1" t="n">
        <x:v>12</x:v>
      </x:c>
      <x:c r="D283" s="1" t="n">
        <x:v>551</x:v>
      </x:c>
      <x:c r="E283" s="1" t="n">
        <x:v>545</x:v>
      </x:c>
      <x:c r="F283" s="1" t="n">
        <x:v>6</x:v>
      </x:c>
      <x:c r="G283" s="1" t="n">
        <x:v>466</x:v>
      </x:c>
      <x:c r="H283" s="1" t="n">
        <x:v>79</x:v>
      </x:c>
      <x:c r="I283" s="1"/>
    </x:row>
    <x:row r="284" ht="23" customHeight="1">
      <x:c r="A284" s="1" t="n">
        <x:v>2025</x:v>
      </x:c>
      <x:c r="B284" s="1" t="str">
        <x:v>Canberra-Melbourne</x:v>
      </x:c>
      <x:c r="C284" s="1" t="n">
        <x:v>12</x:v>
      </x:c>
      <x:c r="D284" s="1" t="n">
        <x:v>4245</x:v>
      </x:c>
      <x:c r="E284" s="1" t="n">
        <x:v>4108</x:v>
      </x:c>
      <x:c r="F284" s="1" t="n">
        <x:v>137</x:v>
      </x:c>
      <x:c r="G284" s="1" t="n">
        <x:v>3289</x:v>
      </x:c>
      <x:c r="H284" s="1" t="n">
        <x:v>819</x:v>
      </x:c>
      <x:c r="I284" s="1"/>
    </x:row>
    <x:row r="285" ht="23" customHeight="1">
      <x:c r="A285" s="1" t="n">
        <x:v>2025</x:v>
      </x:c>
      <x:c r="B285" s="1" t="str">
        <x:v>Canberra-Sydney</x:v>
      </x:c>
      <x:c r="C285" s="1" t="n">
        <x:v>12</x:v>
      </x:c>
      <x:c r="D285" s="1" t="n">
        <x:v>7659</x:v>
      </x:c>
      <x:c r="E285" s="1" t="n">
        <x:v>7185</x:v>
      </x:c>
      <x:c r="F285" s="1" t="n">
        <x:v>474</x:v>
      </x:c>
      <x:c r="G285" s="1" t="n">
        <x:v>5558</x:v>
      </x:c>
      <x:c r="H285" s="1" t="n">
        <x:v>1627</x:v>
      </x:c>
      <x:c r="I285" s="1"/>
    </x:row>
    <x:row r="286" ht="23" customHeight="1">
      <x:c r="A286" s="1" t="n">
        <x:v>2025</x:v>
      </x:c>
      <x:c r="B286" s="1" t="str">
        <x:v>Coffs Harbour-Sydney</x:v>
      </x:c>
      <x:c r="C286" s="1" t="n">
        <x:v>12</x:v>
      </x:c>
      <x:c r="D286" s="1" t="n">
        <x:v>2149</x:v>
      </x:c>
      <x:c r="E286" s="1" t="n">
        <x:v>2074</x:v>
      </x:c>
      <x:c r="F286" s="1" t="n">
        <x:v>75</x:v>
      </x:c>
      <x:c r="G286" s="1" t="n">
        <x:v>1506</x:v>
      </x:c>
      <x:c r="H286" s="1" t="n">
        <x:v>568</x:v>
      </x:c>
      <x:c r="I286" s="1"/>
    </x:row>
    <x:row r="287" ht="23" customHeight="1">
      <x:c r="A287" s="1" t="n">
        <x:v>2025</x:v>
      </x:c>
      <x:c r="B287" s="1" t="str">
        <x:v>Darwin-Brisbane</x:v>
      </x:c>
      <x:c r="C287" s="1" t="n">
        <x:v>12</x:v>
      </x:c>
      <x:c r="D287" s="1" t="n">
        <x:v>1251</x:v>
      </x:c>
      <x:c r="E287" s="1" t="n">
        <x:v>1231</x:v>
      </x:c>
      <x:c r="F287" s="1" t="n">
        <x:v>20</x:v>
      </x:c>
      <x:c r="G287" s="1" t="n">
        <x:v>928</x:v>
      </x:c>
      <x:c r="H287" s="1" t="n">
        <x:v>303</x:v>
      </x:c>
      <x:c r="I287" s="1"/>
    </x:row>
    <x:row r="288" ht="23" customHeight="1">
      <x:c r="A288" s="1" t="n">
        <x:v>2025</x:v>
      </x:c>
      <x:c r="B288" s="1" t="str">
        <x:v>Darwin-Melbourne</x:v>
      </x:c>
      <x:c r="C288" s="1" t="n">
        <x:v>12</x:v>
      </x:c>
      <x:c r="D288" s="1" t="n">
        <x:v>1017</x:v>
      </x:c>
      <x:c r="E288" s="1" t="n">
        <x:v>1005</x:v>
      </x:c>
      <x:c r="F288" s="1" t="n">
        <x:v>12</x:v>
      </x:c>
      <x:c r="G288" s="1" t="n">
        <x:v>804</x:v>
      </x:c>
      <x:c r="H288" s="1" t="n">
        <x:v>201</x:v>
      </x:c>
      <x:c r="I288" s="1"/>
    </x:row>
    <x:row r="289" ht="23" customHeight="1">
      <x:c r="A289" s="1" t="n">
        <x:v>2025</x:v>
      </x:c>
      <x:c r="B289" s="1" t="str">
        <x:v>Darwin-Perth</x:v>
      </x:c>
      <x:c r="C289" s="1" t="n">
        <x:v>12</x:v>
      </x:c>
      <x:c r="D289" s="1" t="n">
        <x:v>766</x:v>
      </x:c>
      <x:c r="E289" s="1" t="n">
        <x:v>757</x:v>
      </x:c>
      <x:c r="F289" s="1" t="n">
        <x:v>9</x:v>
      </x:c>
      <x:c r="G289" s="1" t="n">
        <x:v>583</x:v>
      </x:c>
      <x:c r="H289" s="1" t="n">
        <x:v>174</x:v>
      </x:c>
      <x:c r="I289" s="1"/>
    </x:row>
    <x:row r="290" ht="23" customHeight="1">
      <x:c r="A290" s="1" t="n">
        <x:v>2025</x:v>
      </x:c>
      <x:c r="B290" s="1" t="str">
        <x:v>Devonport-Melbourne</x:v>
      </x:c>
      <x:c r="C290" s="1" t="n">
        <x:v>12</x:v>
      </x:c>
      <x:c r="D290" s="1" t="n">
        <x:v>1751</x:v>
      </x:c>
      <x:c r="E290" s="1" t="n">
        <x:v>1682</x:v>
      </x:c>
      <x:c r="F290" s="1" t="n">
        <x:v>69</x:v>
      </x:c>
      <x:c r="G290" s="1" t="n">
        <x:v>1387</x:v>
      </x:c>
      <x:c r="H290" s="1" t="n">
        <x:v>295</x:v>
      </x:c>
      <x:c r="I290" s="1"/>
    </x:row>
    <x:row r="291" ht="23" customHeight="1">
      <x:c r="A291" s="1" t="n">
        <x:v>2025</x:v>
      </x:c>
      <x:c r="B291" s="1" t="str">
        <x:v>Dubbo-Sydney</x:v>
      </x:c>
      <x:c r="C291" s="1" t="n">
        <x:v>12</x:v>
      </x:c>
      <x:c r="D291" s="1" t="n">
        <x:v>2585</x:v>
      </x:c>
      <x:c r="E291" s="1" t="n">
        <x:v>2491</x:v>
      </x:c>
      <x:c r="F291" s="1" t="n">
        <x:v>94</x:v>
      </x:c>
      <x:c r="G291" s="1" t="n">
        <x:v>1866</x:v>
      </x:c>
      <x:c r="H291" s="1" t="n">
        <x:v>625</x:v>
      </x:c>
      <x:c r="I291" s="1"/>
    </x:row>
    <x:row r="292" ht="23" customHeight="1">
      <x:c r="A292" s="1" t="n">
        <x:v>2025</x:v>
      </x:c>
      <x:c r="B292" s="1" t="str">
        <x:v>Emerald-Brisbane</x:v>
      </x:c>
      <x:c r="C292" s="1" t="n">
        <x:v>12</x:v>
      </x:c>
      <x:c r="D292" s="1" t="n">
        <x:v>1729</x:v>
      </x:c>
      <x:c r="E292" s="1" t="n">
        <x:v>1670</x:v>
      </x:c>
      <x:c r="F292" s="1" t="n">
        <x:v>59</x:v>
      </x:c>
      <x:c r="G292" s="1" t="n">
        <x:v>1500</x:v>
      </x:c>
      <x:c r="H292" s="1" t="n">
        <x:v>170</x:v>
      </x:c>
      <x:c r="I292" s="1"/>
    </x:row>
    <x:row r="293" ht="23" customHeight="1">
      <x:c r="A293" s="1" t="n">
        <x:v>2025</x:v>
      </x:c>
      <x:c r="B293" s="1" t="str">
        <x:v>Gladstone-Brisbane</x:v>
      </x:c>
      <x:c r="C293" s="1" t="n">
        <x:v>12</x:v>
      </x:c>
      <x:c r="D293" s="1" t="n">
        <x:v>1931</x:v>
      </x:c>
      <x:c r="E293" s="1" t="n">
        <x:v>1852</x:v>
      </x:c>
      <x:c r="F293" s="1" t="n">
        <x:v>79</x:v>
      </x:c>
      <x:c r="G293" s="1" t="n">
        <x:v>1551</x:v>
      </x:c>
      <x:c r="H293" s="1" t="n">
        <x:v>301</x:v>
      </x:c>
      <x:c r="I293" s="1"/>
    </x:row>
    <x:row r="294" ht="23" customHeight="1">
      <x:c r="A294" s="1" t="n">
        <x:v>2025</x:v>
      </x:c>
      <x:c r="B294" s="1" t="str">
        <x:v>Gold Coast-Adelaide</x:v>
      </x:c>
      <x:c r="C294" s="1" t="n">
        <x:v>12</x:v>
      </x:c>
      <x:c r="D294" s="1" t="n">
        <x:v>779</x:v>
      </x:c>
      <x:c r="E294" s="1" t="n">
        <x:v>771</x:v>
      </x:c>
      <x:c r="F294" s="1" t="n">
        <x:v>8</x:v>
      </x:c>
      <x:c r="G294" s="1" t="n">
        <x:v>575</x:v>
      </x:c>
      <x:c r="H294" s="1" t="n">
        <x:v>196</x:v>
      </x:c>
      <x:c r="I294" s="1"/>
    </x:row>
    <x:row r="295" ht="23" customHeight="1">
      <x:c r="A295" s="1" t="n">
        <x:v>2025</x:v>
      </x:c>
      <x:c r="B295" s="1" t="str">
        <x:v>Gold Coast-Canberra</x:v>
      </x:c>
      <x:c r="C295" s="1" t="n">
        <x:v>12</x:v>
      </x:c>
      <x:c r="D295" s="1" t="n">
        <x:v>551</x:v>
      </x:c>
      <x:c r="E295" s="1" t="n">
        <x:v>545</x:v>
      </x:c>
      <x:c r="F295" s="1" t="n">
        <x:v>6</x:v>
      </x:c>
      <x:c r="G295" s="1" t="n">
        <x:v>474</x:v>
      </x:c>
      <x:c r="H295" s="1" t="n">
        <x:v>71</x:v>
      </x:c>
      <x:c r="I295" s="1"/>
    </x:row>
    <x:row r="296" ht="23" customHeight="1">
      <x:c r="A296" s="1" t="n">
        <x:v>2025</x:v>
      </x:c>
      <x:c r="B296" s="1" t="str">
        <x:v>Gold Coast-Melbourne</x:v>
      </x:c>
      <x:c r="C296" s="1" t="n">
        <x:v>12</x:v>
      </x:c>
      <x:c r="D296" s="1" t="n">
        <x:v>6315</x:v>
      </x:c>
      <x:c r="E296" s="1" t="n">
        <x:v>6170</x:v>
      </x:c>
      <x:c r="F296" s="1" t="n">
        <x:v>145</x:v>
      </x:c>
      <x:c r="G296" s="1" t="n">
        <x:v>4607</x:v>
      </x:c>
      <x:c r="H296" s="1" t="n">
        <x:v>1563</x:v>
      </x:c>
      <x:c r="I296" s="1"/>
    </x:row>
    <x:row r="297" ht="23" customHeight="1">
      <x:c r="A297" s="1" t="n">
        <x:v>2025</x:v>
      </x:c>
      <x:c r="B297" s="1" t="str">
        <x:v>Gold Coast-Sydney</x:v>
      </x:c>
      <x:c r="C297" s="1" t="n">
        <x:v>12</x:v>
      </x:c>
      <x:c r="D297" s="1" t="n">
        <x:v>8135</x:v>
      </x:c>
      <x:c r="E297" s="1" t="n">
        <x:v>7969</x:v>
      </x:c>
      <x:c r="F297" s="1" t="n">
        <x:v>166</x:v>
      </x:c>
      <x:c r="G297" s="1" t="n">
        <x:v>6223</x:v>
      </x:c>
      <x:c r="H297" s="1" t="n">
        <x:v>1746</x:v>
      </x:c>
      <x:c r="I297" s="1"/>
    </x:row>
    <x:row r="298" ht="23" customHeight="1">
      <x:c r="A298" s="1" t="n">
        <x:v>2025</x:v>
      </x:c>
      <x:c r="B298" s="1" t="str">
        <x:v>Hamilton Island-Brisbane</x:v>
      </x:c>
      <x:c r="C298" s="1" t="n">
        <x:v>12</x:v>
      </x:c>
      <x:c r="D298" s="1" t="n">
        <x:v>766</x:v>
      </x:c>
      <x:c r="E298" s="1" t="n">
        <x:v>757</x:v>
      </x:c>
      <x:c r="F298" s="1" t="n">
        <x:v>9</x:v>
      </x:c>
      <x:c r="G298" s="1" t="n">
        <x:v>567</x:v>
      </x:c>
      <x:c r="H298" s="1" t="n">
        <x:v>190</x:v>
      </x:c>
      <x:c r="I298" s="1"/>
    </x:row>
    <x:row r="299" ht="23" customHeight="1">
      <x:c r="A299" s="1" t="n">
        <x:v>2025</x:v>
      </x:c>
      <x:c r="B299" s="1" t="str">
        <x:v>Hamilton Island-Sydney</x:v>
      </x:c>
      <x:c r="C299" s="1" t="n">
        <x:v>12</x:v>
      </x:c>
      <x:c r="D299" s="1" t="n">
        <x:v>873</x:v>
      </x:c>
      <x:c r="E299" s="1" t="n">
        <x:v>869</x:v>
      </x:c>
      <x:c r="F299" s="1" t="n">
        <x:v>4</x:v>
      </x:c>
      <x:c r="G299" s="1" t="n">
        <x:v>528</x:v>
      </x:c>
      <x:c r="H299" s="1" t="n">
        <x:v>341</x:v>
      </x:c>
      <x:c r="I299" s="1"/>
    </x:row>
    <x:row r="300" ht="23" customHeight="1">
      <x:c r="A300" s="1" t="n">
        <x:v>2025</x:v>
      </x:c>
      <x:c r="B300" s="1" t="str">
        <x:v>Hobart-Brisbane</x:v>
      </x:c>
      <x:c r="C300" s="1" t="n">
        <x:v>12</x:v>
      </x:c>
      <x:c r="D300" s="1" t="n">
        <x:v>1109</x:v>
      </x:c>
      <x:c r="E300" s="1" t="n">
        <x:v>1090</x:v>
      </x:c>
      <x:c r="F300" s="1" t="n">
        <x:v>19</x:v>
      </x:c>
      <x:c r="G300" s="1" t="n">
        <x:v>755</x:v>
      </x:c>
      <x:c r="H300" s="1" t="n">
        <x:v>335</x:v>
      </x:c>
      <x:c r="I300" s="1"/>
    </x:row>
    <x:row r="301" ht="23" customHeight="1">
      <x:c r="A301" s="1" t="n">
        <x:v>2025</x:v>
      </x:c>
      <x:c r="B301" s="1" t="str">
        <x:v>Hobart-Melbourne</x:v>
      </x:c>
      <x:c r="C301" s="1" t="n">
        <x:v>12</x:v>
      </x:c>
      <x:c r="D301" s="1" t="n">
        <x:v>4879</x:v>
      </x:c>
      <x:c r="E301" s="1" t="n">
        <x:v>4824</x:v>
      </x:c>
      <x:c r="F301" s="1" t="n">
        <x:v>55</x:v>
      </x:c>
      <x:c r="G301" s="1" t="n">
        <x:v>3629</x:v>
      </x:c>
      <x:c r="H301" s="1" t="n">
        <x:v>1195</x:v>
      </x:c>
      <x:c r="I301" s="1"/>
    </x:row>
    <x:row r="302" ht="23" customHeight="1">
      <x:c r="A302" s="1" t="n">
        <x:v>2025</x:v>
      </x:c>
      <x:c r="B302" s="1" t="str">
        <x:v>Hobart-Sydney</x:v>
      </x:c>
      <x:c r="C302" s="1" t="n">
        <x:v>12</x:v>
      </x:c>
      <x:c r="D302" s="1" t="n">
        <x:v>2874</x:v>
      </x:c>
      <x:c r="E302" s="1" t="n">
        <x:v>2805</x:v>
      </x:c>
      <x:c r="F302" s="1" t="n">
        <x:v>69</x:v>
      </x:c>
      <x:c r="G302" s="1" t="n">
        <x:v>2136</x:v>
      </x:c>
      <x:c r="H302" s="1" t="n">
        <x:v>669</x:v>
      </x:c>
      <x:c r="I302" s="1"/>
    </x:row>
    <x:row r="303" ht="23" customHeight="1">
      <x:c r="A303" s="1" t="n">
        <x:v>2025</x:v>
      </x:c>
      <x:c r="B303" s="1" t="str">
        <x:v>Kalgoorlie-Perth</x:v>
      </x:c>
      <x:c r="C303" s="1" t="n">
        <x:v>12</x:v>
      </x:c>
      <x:c r="D303" s="1" t="n">
        <x:v>2219</x:v>
      </x:c>
      <x:c r="E303" s="1" t="n">
        <x:v>2143</x:v>
      </x:c>
      <x:c r="F303" s="1" t="n">
        <x:v>76</x:v>
      </x:c>
      <x:c r="G303" s="1" t="n">
        <x:v>1458</x:v>
      </x:c>
      <x:c r="H303" s="1" t="n">
        <x:v>685</x:v>
      </x:c>
      <x:c r="I303" s="1"/>
    </x:row>
    <x:row r="304" ht="23" customHeight="1">
      <x:c r="A304" s="1" t="n">
        <x:v>2025</x:v>
      </x:c>
      <x:c r="B304" s="1" t="str">
        <x:v>Karratha-Perth</x:v>
      </x:c>
      <x:c r="C304" s="1" t="n">
        <x:v>12</x:v>
      </x:c>
      <x:c r="D304" s="1" t="n">
        <x:v>2947</x:v>
      </x:c>
      <x:c r="E304" s="1" t="n">
        <x:v>2893</x:v>
      </x:c>
      <x:c r="F304" s="1" t="n">
        <x:v>54</x:v>
      </x:c>
      <x:c r="G304" s="1" t="n">
        <x:v>2121</x:v>
      </x:c>
      <x:c r="H304" s="1" t="n">
        <x:v>772</x:v>
      </x:c>
      <x:c r="I304" s="1"/>
    </x:row>
    <x:row r="305" ht="23" customHeight="1">
      <x:c r="A305" s="1" t="n">
        <x:v>2025</x:v>
      </x:c>
      <x:c r="B305" s="1" t="str">
        <x:v>Launceston-Brisbane</x:v>
      </x:c>
      <x:c r="C305" s="1" t="n">
        <x:v>12</x:v>
      </x:c>
      <x:c r="D305" s="1" t="n">
        <x:v>489</x:v>
      </x:c>
      <x:c r="E305" s="1" t="n">
        <x:v>480</x:v>
      </x:c>
      <x:c r="F305" s="1" t="n">
        <x:v>9</x:v>
      </x:c>
      <x:c r="G305" s="1" t="n">
        <x:v>304</x:v>
      </x:c>
      <x:c r="H305" s="1" t="n">
        <x:v>176</x:v>
      </x:c>
      <x:c r="I305" s="1"/>
    </x:row>
    <x:row r="306" ht="23" customHeight="1">
      <x:c r="A306" s="1" t="n">
        <x:v>2025</x:v>
      </x:c>
      <x:c r="B306" s="1" t="str">
        <x:v>Launceston-Melbourne</x:v>
      </x:c>
      <x:c r="C306" s="1" t="n">
        <x:v>12</x:v>
      </x:c>
      <x:c r="D306" s="1" t="n">
        <x:v>3372</x:v>
      </x:c>
      <x:c r="E306" s="1" t="n">
        <x:v>3306</x:v>
      </x:c>
      <x:c r="F306" s="1" t="n">
        <x:v>66</x:v>
      </x:c>
      <x:c r="G306" s="1" t="n">
        <x:v>2414</x:v>
      </x:c>
      <x:c r="H306" s="1" t="n">
        <x:v>892</x:v>
      </x:c>
      <x:c r="I306" s="1"/>
    </x:row>
    <x:row r="307" ht="23" customHeight="1">
      <x:c r="A307" s="1" t="n">
        <x:v>2025</x:v>
      </x:c>
      <x:c r="B307" s="1" t="str">
        <x:v>Launceston-Sydney</x:v>
      </x:c>
      <x:c r="C307" s="1" t="n">
        <x:v>12</x:v>
      </x:c>
      <x:c r="D307" s="1" t="n">
        <x:v>1254</x:v>
      </x:c>
      <x:c r="E307" s="1" t="n">
        <x:v>1244</x:v>
      </x:c>
      <x:c r="F307" s="1" t="n">
        <x:v>10</x:v>
      </x:c>
      <x:c r="G307" s="1" t="n">
        <x:v>874</x:v>
      </x:c>
      <x:c r="H307" s="1" t="n">
        <x:v>370</x:v>
      </x:c>
      <x:c r="I307" s="1"/>
    </x:row>
    <x:row r="308" ht="23" customHeight="1">
      <x:c r="A308" s="1" t="n">
        <x:v>2025</x:v>
      </x:c>
      <x:c r="B308" s="1" t="str">
        <x:v>Mackay-Brisbane</x:v>
      </x:c>
      <x:c r="C308" s="1" t="n">
        <x:v>12</x:v>
      </x:c>
      <x:c r="D308" s="1" t="n">
        <x:v>3780</x:v>
      </x:c>
      <x:c r="E308" s="1" t="n">
        <x:v>3665</x:v>
      </x:c>
      <x:c r="F308" s="1" t="n">
        <x:v>115</x:v>
      </x:c>
      <x:c r="G308" s="1" t="n">
        <x:v>2973</x:v>
      </x:c>
      <x:c r="H308" s="1" t="n">
        <x:v>692</x:v>
      </x:c>
      <x:c r="I308" s="1"/>
    </x:row>
    <x:row r="309" ht="23" customHeight="1">
      <x:c r="A309" s="1" t="n">
        <x:v>2025</x:v>
      </x:c>
      <x:c r="B309" s="1" t="str">
        <x:v>Melbourne-Adelaide</x:v>
      </x:c>
      <x:c r="C309" s="1" t="n">
        <x:v>12</x:v>
      </x:c>
      <x:c r="D309" s="1" t="n">
        <x:v>8154</x:v>
      </x:c>
      <x:c r="E309" s="1" t="n">
        <x:v>8070</x:v>
      </x:c>
      <x:c r="F309" s="1" t="n">
        <x:v>84</x:v>
      </x:c>
      <x:c r="G309" s="1" t="n">
        <x:v>5998</x:v>
      </x:c>
      <x:c r="H309" s="1" t="n">
        <x:v>2072</x:v>
      </x:c>
      <x:c r="I309" s="1"/>
    </x:row>
    <x:row r="310" ht="23" customHeight="1">
      <x:c r="A310" s="1" t="n">
        <x:v>2025</x:v>
      </x:c>
      <x:c r="B310" s="1" t="str">
        <x:v>Melbourne-Ayers Rock</x:v>
      </x:c>
      <x:c r="C310" s="1" t="n">
        <x:v>11</x:v>
      </x:c>
      <x:c r="D310" s="1" t="n">
        <x:v>343</x:v>
      </x:c>
      <x:c r="E310" s="1" t="n">
        <x:v>343</x:v>
      </x:c>
      <x:c r="F310" s="1" t="n">
        <x:v>0</x:v>
      </x:c>
      <x:c r="G310" s="1" t="n">
        <x:v>293</x:v>
      </x:c>
      <x:c r="H310" s="1" t="n">
        <x:v>50</x:v>
      </x:c>
      <x:c r="I310" s="1"/>
    </x:row>
    <x:row r="311" ht="23" customHeight="1">
      <x:c r="A311" s="1" t="n">
        <x:v>2025</x:v>
      </x:c>
      <x:c r="B311" s="1" t="str">
        <x:v>Melbourne-Brisbane</x:v>
      </x:c>
      <x:c r="C311" s="1" t="n">
        <x:v>12</x:v>
      </x:c>
      <x:c r="D311" s="1" t="n">
        <x:v>12334</x:v>
      </x:c>
      <x:c r="E311" s="1" t="n">
        <x:v>11903</x:v>
      </x:c>
      <x:c r="F311" s="1" t="n">
        <x:v>431</x:v>
      </x:c>
      <x:c r="G311" s="1" t="n">
        <x:v>8708</x:v>
      </x:c>
      <x:c r="H311" s="1" t="n">
        <x:v>3195</x:v>
      </x:c>
      <x:c r="I311" s="1"/>
    </x:row>
    <x:row r="312" ht="23" customHeight="1">
      <x:c r="A312" s="1" t="n">
        <x:v>2025</x:v>
      </x:c>
      <x:c r="B312" s="1" t="str">
        <x:v>Melbourne-Cairns</x:v>
      </x:c>
      <x:c r="C312" s="1" t="n">
        <x:v>12</x:v>
      </x:c>
      <x:c r="D312" s="1" t="n">
        <x:v>2313</x:v>
      </x:c>
      <x:c r="E312" s="1" t="n">
        <x:v>2302</x:v>
      </x:c>
      <x:c r="F312" s="1" t="n">
        <x:v>11</x:v>
      </x:c>
      <x:c r="G312" s="1" t="n">
        <x:v>1843</x:v>
      </x:c>
      <x:c r="H312" s="1" t="n">
        <x:v>459</x:v>
      </x:c>
      <x:c r="I312" s="1"/>
    </x:row>
    <x:row r="313" ht="23" customHeight="1">
      <x:c r="A313" s="1" t="n">
        <x:v>2025</x:v>
      </x:c>
      <x:c r="B313" s="1" t="str">
        <x:v>Melbourne-Canberra</x:v>
      </x:c>
      <x:c r="C313" s="1" t="n">
        <x:v>12</x:v>
      </x:c>
      <x:c r="D313" s="1" t="n">
        <x:v>4249</x:v>
      </x:c>
      <x:c r="E313" s="1" t="n">
        <x:v>4137</x:v>
      </x:c>
      <x:c r="F313" s="1" t="n">
        <x:v>112</x:v>
      </x:c>
      <x:c r="G313" s="1" t="n">
        <x:v>3294</x:v>
      </x:c>
      <x:c r="H313" s="1" t="n">
        <x:v>843</x:v>
      </x:c>
      <x:c r="I313" s="1"/>
    </x:row>
    <x:row r="314" ht="23" customHeight="1">
      <x:c r="A314" s="1" t="n">
        <x:v>2025</x:v>
      </x:c>
      <x:c r="B314" s="1" t="str">
        <x:v>Melbourne-Darwin</x:v>
      </x:c>
      <x:c r="C314" s="1" t="n">
        <x:v>12</x:v>
      </x:c>
      <x:c r="D314" s="1" t="n">
        <x:v>1014</x:v>
      </x:c>
      <x:c r="E314" s="1" t="n">
        <x:v>1009</x:v>
      </x:c>
      <x:c r="F314" s="1" t="n">
        <x:v>5</x:v>
      </x:c>
      <x:c r="G314" s="1" t="n">
        <x:v>773</x:v>
      </x:c>
      <x:c r="H314" s="1" t="n">
        <x:v>236</x:v>
      </x:c>
      <x:c r="I314" s="1"/>
    </x:row>
    <x:row r="315" ht="23" customHeight="1">
      <x:c r="A315" s="1" t="n">
        <x:v>2025</x:v>
      </x:c>
      <x:c r="B315" s="1" t="str">
        <x:v>Melbourne-Devonport</x:v>
      </x:c>
      <x:c r="C315" s="1" t="n">
        <x:v>12</x:v>
      </x:c>
      <x:c r="D315" s="1" t="n">
        <x:v>1751</x:v>
      </x:c>
      <x:c r="E315" s="1" t="n">
        <x:v>1691</x:v>
      </x:c>
      <x:c r="F315" s="1" t="n">
        <x:v>60</x:v>
      </x:c>
      <x:c r="G315" s="1" t="n">
        <x:v>1335</x:v>
      </x:c>
      <x:c r="H315" s="1" t="n">
        <x:v>356</x:v>
      </x:c>
      <x:c r="I315" s="1"/>
    </x:row>
    <x:row r="316" ht="23" customHeight="1">
      <x:c r="A316" s="1" t="n">
        <x:v>2025</x:v>
      </x:c>
      <x:c r="B316" s="1" t="str">
        <x:v>Melbourne-Gold Coast</x:v>
      </x:c>
      <x:c r="C316" s="1" t="n">
        <x:v>12</x:v>
      </x:c>
      <x:c r="D316" s="1" t="n">
        <x:v>6316</x:v>
      </x:c>
      <x:c r="E316" s="1" t="n">
        <x:v>6186</x:v>
      </x:c>
      <x:c r="F316" s="1" t="n">
        <x:v>130</x:v>
      </x:c>
      <x:c r="G316" s="1" t="n">
        <x:v>4753</x:v>
      </x:c>
      <x:c r="H316" s="1" t="n">
        <x:v>1433</x:v>
      </x:c>
      <x:c r="I316" s="1"/>
    </x:row>
    <x:row r="317" ht="23" customHeight="1">
      <x:c r="A317" s="1" t="n">
        <x:v>2025</x:v>
      </x:c>
      <x:c r="B317" s="1" t="str">
        <x:v>Melbourne-Hobart</x:v>
      </x:c>
      <x:c r="C317" s="1" t="n">
        <x:v>12</x:v>
      </x:c>
      <x:c r="D317" s="1" t="n">
        <x:v>4875</x:v>
      </x:c>
      <x:c r="E317" s="1" t="n">
        <x:v>4832</x:v>
      </x:c>
      <x:c r="F317" s="1" t="n">
        <x:v>43</x:v>
      </x:c>
      <x:c r="G317" s="1" t="n">
        <x:v>3671</x:v>
      </x:c>
      <x:c r="H317" s="1" t="n">
        <x:v>1161</x:v>
      </x:c>
      <x:c r="I317" s="1"/>
    </x:row>
    <x:row r="318" ht="23" customHeight="1">
      <x:c r="A318" s="1" t="n">
        <x:v>2025</x:v>
      </x:c>
      <x:c r="B318" s="1" t="str">
        <x:v>Melbourne-Launceston</x:v>
      </x:c>
      <x:c r="C318" s="1" t="n">
        <x:v>12</x:v>
      </x:c>
      <x:c r="D318" s="1" t="n">
        <x:v>3373</x:v>
      </x:c>
      <x:c r="E318" s="1" t="n">
        <x:v>3313</x:v>
      </x:c>
      <x:c r="F318" s="1" t="n">
        <x:v>60</x:v>
      </x:c>
      <x:c r="G318" s="1" t="n">
        <x:v>2327</x:v>
      </x:c>
      <x:c r="H318" s="1" t="n">
        <x:v>986</x:v>
      </x:c>
      <x:c r="I318" s="1"/>
    </x:row>
    <x:row r="319" ht="23" customHeight="1">
      <x:c r="A319" s="1" t="n">
        <x:v>2025</x:v>
      </x:c>
      <x:c r="B319" s="1" t="str">
        <x:v>Melbourne-Mildura</x:v>
      </x:c>
      <x:c r="C319" s="1" t="n">
        <x:v>12</x:v>
      </x:c>
      <x:c r="D319" s="1" t="n">
        <x:v>2125</x:v>
      </x:c>
      <x:c r="E319" s="1" t="n">
        <x:v>2093</x:v>
      </x:c>
      <x:c r="F319" s="1" t="n">
        <x:v>32</x:v>
      </x:c>
      <x:c r="G319" s="1" t="n">
        <x:v>1558</x:v>
      </x:c>
      <x:c r="H319" s="1" t="n">
        <x:v>535</x:v>
      </x:c>
      <x:c r="I319" s="1"/>
    </x:row>
    <x:row r="320" ht="23" customHeight="1">
      <x:c r="A320" s="1" t="n">
        <x:v>2025</x:v>
      </x:c>
      <x:c r="B320" s="1" t="str">
        <x:v>Melbourne-Newcastle</x:v>
      </x:c>
      <x:c r="C320" s="1" t="n">
        <x:v>12</x:v>
      </x:c>
      <x:c r="D320" s="1" t="n">
        <x:v>1807</x:v>
      </x:c>
      <x:c r="E320" s="1" t="n">
        <x:v>1790</x:v>
      </x:c>
      <x:c r="F320" s="1" t="n">
        <x:v>17</x:v>
      </x:c>
      <x:c r="G320" s="1" t="n">
        <x:v>1313</x:v>
      </x:c>
      <x:c r="H320" s="1" t="n">
        <x:v>477</x:v>
      </x:c>
      <x:c r="I320" s="1"/>
    </x:row>
    <x:row r="321" ht="23" customHeight="1">
      <x:c r="A321" s="1" t="n">
        <x:v>2025</x:v>
      </x:c>
      <x:c r="B321" s="1" t="str">
        <x:v>Melbourne-Perth</x:v>
      </x:c>
      <x:c r="C321" s="1" t="n">
        <x:v>12</x:v>
      </x:c>
      <x:c r="D321" s="1" t="n">
        <x:v>6158</x:v>
      </x:c>
      <x:c r="E321" s="1" t="n">
        <x:v>6104</x:v>
      </x:c>
      <x:c r="F321" s="1" t="n">
        <x:v>54</x:v>
      </x:c>
      <x:c r="G321" s="1" t="n">
        <x:v>4238</x:v>
      </x:c>
      <x:c r="H321" s="1" t="n">
        <x:v>1866</x:v>
      </x:c>
      <x:c r="I321" s="1"/>
    </x:row>
    <x:row r="322" ht="23" customHeight="1">
      <x:c r="A322" s="1" t="n">
        <x:v>2025</x:v>
      </x:c>
      <x:c r="B322" s="1" t="str">
        <x:v>Melbourne-Sunshine Coast</x:v>
      </x:c>
      <x:c r="C322" s="1" t="n">
        <x:v>12</x:v>
      </x:c>
      <x:c r="D322" s="1" t="n">
        <x:v>2302</x:v>
      </x:c>
      <x:c r="E322" s="1" t="n">
        <x:v>2293</x:v>
      </x:c>
      <x:c r="F322" s="1" t="n">
        <x:v>9</x:v>
      </x:c>
      <x:c r="G322" s="1" t="n">
        <x:v>1810</x:v>
      </x:c>
      <x:c r="H322" s="1" t="n">
        <x:v>483</x:v>
      </x:c>
      <x:c r="I322" s="1"/>
    </x:row>
    <x:row r="323" ht="23" customHeight="1">
      <x:c r="A323" s="1" t="n">
        <x:v>2025</x:v>
      </x:c>
      <x:c r="B323" s="1" t="str">
        <x:v>Melbourne-Sydney</x:v>
      </x:c>
      <x:c r="C323" s="1" t="n">
        <x:v>12</x:v>
      </x:c>
      <x:c r="D323" s="1" t="n">
        <x:v>25369</x:v>
      </x:c>
      <x:c r="E323" s="1" t="n">
        <x:v>24282</x:v>
      </x:c>
      <x:c r="F323" s="1" t="n">
        <x:v>1087</x:v>
      </x:c>
      <x:c r="G323" s="1" t="n">
        <x:v>18216</x:v>
      </x:c>
      <x:c r="H323" s="1" t="n">
        <x:v>6066</x:v>
      </x:c>
      <x:c r="I323" s="1"/>
    </x:row>
    <x:row r="324" ht="23" customHeight="1">
      <x:c r="A324" s="1" t="n">
        <x:v>2025</x:v>
      </x:c>
      <x:c r="B324" s="1" t="str">
        <x:v>Mildura-Melbourne</x:v>
      </x:c>
      <x:c r="C324" s="1" t="n">
        <x:v>12</x:v>
      </x:c>
      <x:c r="D324" s="1" t="n">
        <x:v>2126</x:v>
      </x:c>
      <x:c r="E324" s="1" t="n">
        <x:v>2087</x:v>
      </x:c>
      <x:c r="F324" s="1" t="n">
        <x:v>39</x:v>
      </x:c>
      <x:c r="G324" s="1" t="n">
        <x:v>1573</x:v>
      </x:c>
      <x:c r="H324" s="1" t="n">
        <x:v>514</x:v>
      </x:c>
      <x:c r="I324" s="1"/>
    </x:row>
    <x:row r="325" ht="23" customHeight="1">
      <x:c r="A325" s="1" t="n">
        <x:v>2025</x:v>
      </x:c>
      <x:c r="B325" s="1" t="str">
        <x:v>Mount Isa-Brisbane</x:v>
      </x:c>
      <x:c r="C325" s="1" t="n">
        <x:v>12</x:v>
      </x:c>
      <x:c r="D325" s="1" t="n">
        <x:v>971</x:v>
      </x:c>
      <x:c r="E325" s="1" t="n">
        <x:v>952</x:v>
      </x:c>
      <x:c r="F325" s="1" t="n">
        <x:v>19</x:v>
      </x:c>
      <x:c r="G325" s="1" t="n">
        <x:v>733</x:v>
      </x:c>
      <x:c r="H325" s="1" t="n">
        <x:v>219</x:v>
      </x:c>
      <x:c r="I325" s="1"/>
    </x:row>
    <x:row r="326" ht="23" customHeight="1">
      <x:c r="A326" s="1" t="n">
        <x:v>2025</x:v>
      </x:c>
      <x:c r="B326" s="1" t="str">
        <x:v>Newcastle-Brisbane</x:v>
      </x:c>
      <x:c r="C326" s="1" t="n">
        <x:v>12</x:v>
      </x:c>
      <x:c r="D326" s="1" t="n">
        <x:v>2654</x:v>
      </x:c>
      <x:c r="E326" s="1" t="n">
        <x:v>2600</x:v>
      </x:c>
      <x:c r="F326" s="1" t="n">
        <x:v>54</x:v>
      </x:c>
      <x:c r="G326" s="1" t="n">
        <x:v>2025</x:v>
      </x:c>
      <x:c r="H326" s="1" t="n">
        <x:v>575</x:v>
      </x:c>
      <x:c r="I326" s="1"/>
    </x:row>
    <x:row r="327" ht="23" customHeight="1">
      <x:c r="A327" s="1" t="n">
        <x:v>2025</x:v>
      </x:c>
      <x:c r="B327" s="1" t="str">
        <x:v>Newcastle-Melbourne</x:v>
      </x:c>
      <x:c r="C327" s="1" t="n">
        <x:v>12</x:v>
      </x:c>
      <x:c r="D327" s="1" t="n">
        <x:v>1812</x:v>
      </x:c>
      <x:c r="E327" s="1" t="n">
        <x:v>1785</x:v>
      </x:c>
      <x:c r="F327" s="1" t="n">
        <x:v>27</x:v>
      </x:c>
      <x:c r="G327" s="1" t="n">
        <x:v>1361</x:v>
      </x:c>
      <x:c r="H327" s="1" t="n">
        <x:v>424</x:v>
      </x:c>
      <x:c r="I327" s="1"/>
    </x:row>
    <x:row r="328" ht="23" customHeight="1">
      <x:c r="A328" s="1" t="n">
        <x:v>2025</x:v>
      </x:c>
      <x:c r="B328" s="1" t="str">
        <x:v>Newman-Perth</x:v>
      </x:c>
      <x:c r="C328" s="1" t="n">
        <x:v>12</x:v>
      </x:c>
      <x:c r="D328" s="1" t="n">
        <x:v>2147</x:v>
      </x:c>
      <x:c r="E328" s="1" t="n">
        <x:v>2121</x:v>
      </x:c>
      <x:c r="F328" s="1" t="n">
        <x:v>26</x:v>
      </x:c>
      <x:c r="G328" s="1" t="n">
        <x:v>1599</x:v>
      </x:c>
      <x:c r="H328" s="1" t="n">
        <x:v>522</x:v>
      </x:c>
      <x:c r="I328" s="1"/>
    </x:row>
    <x:row r="329" ht="23" customHeight="1">
      <x:c r="A329" s="1" t="n">
        <x:v>2025</x:v>
      </x:c>
      <x:c r="B329" s="1" t="str">
        <x:v>Perth-Adelaide</x:v>
      </x:c>
      <x:c r="C329" s="1" t="n">
        <x:v>12</x:v>
      </x:c>
      <x:c r="D329" s="1" t="n">
        <x:v>2289</x:v>
      </x:c>
      <x:c r="E329" s="1" t="n">
        <x:v>2279</x:v>
      </x:c>
      <x:c r="F329" s="1" t="n">
        <x:v>10</x:v>
      </x:c>
      <x:c r="G329" s="1" t="n">
        <x:v>1859</x:v>
      </x:c>
      <x:c r="H329" s="1" t="n">
        <x:v>420</x:v>
      </x:c>
      <x:c r="I329" s="1"/>
    </x:row>
    <x:row r="330" ht="23" customHeight="1">
      <x:c r="A330" s="1" t="n">
        <x:v>2025</x:v>
      </x:c>
      <x:c r="B330" s="1" t="str">
        <x:v>Perth-Brisbane</x:v>
      </x:c>
      <x:c r="C330" s="1" t="n">
        <x:v>12</x:v>
      </x:c>
      <x:c r="D330" s="1" t="n">
        <x:v>3826</x:v>
      </x:c>
      <x:c r="E330" s="1" t="n">
        <x:v>3754</x:v>
      </x:c>
      <x:c r="F330" s="1" t="n">
        <x:v>72</x:v>
      </x:c>
      <x:c r="G330" s="1" t="n">
        <x:v>2762</x:v>
      </x:c>
      <x:c r="H330" s="1" t="n">
        <x:v>992</x:v>
      </x:c>
      <x:c r="I330" s="1"/>
    </x:row>
    <x:row r="331" ht="23" customHeight="1">
      <x:c r="A331" s="1" t="n">
        <x:v>2025</x:v>
      </x:c>
      <x:c r="B331" s="1" t="str">
        <x:v>Perth-Broome</x:v>
      </x:c>
      <x:c r="C331" s="1" t="n">
        <x:v>12</x:v>
      </x:c>
      <x:c r="D331" s="1" t="n">
        <x:v>1597</x:v>
      </x:c>
      <x:c r="E331" s="1" t="n">
        <x:v>1584</x:v>
      </x:c>
      <x:c r="F331" s="1" t="n">
        <x:v>13</x:v>
      </x:c>
      <x:c r="G331" s="1" t="n">
        <x:v>1258</x:v>
      </x:c>
      <x:c r="H331" s="1" t="n">
        <x:v>326</x:v>
      </x:c>
      <x:c r="I331" s="1"/>
    </x:row>
    <x:row r="332" ht="23" customHeight="1">
      <x:c r="A332" s="1" t="n">
        <x:v>2025</x:v>
      </x:c>
      <x:c r="B332" s="1" t="str">
        <x:v>Perth-Darwin</x:v>
      </x:c>
      <x:c r="C332" s="1" t="n">
        <x:v>12</x:v>
      </x:c>
      <x:c r="D332" s="1" t="n">
        <x:v>766</x:v>
      </x:c>
      <x:c r="E332" s="1" t="n">
        <x:v>761</x:v>
      </x:c>
      <x:c r="F332" s="1" t="n">
        <x:v>5</x:v>
      </x:c>
      <x:c r="G332" s="1" t="n">
        <x:v>616</x:v>
      </x:c>
      <x:c r="H332" s="1" t="n">
        <x:v>145</x:v>
      </x:c>
      <x:c r="I332" s="1"/>
    </x:row>
    <x:row r="333" ht="23" customHeight="1">
      <x:c r="A333" s="1" t="n">
        <x:v>2025</x:v>
      </x:c>
      <x:c r="B333" s="1" t="str">
        <x:v>Perth-Kalgoorlie</x:v>
      </x:c>
      <x:c r="C333" s="1" t="n">
        <x:v>12</x:v>
      </x:c>
      <x:c r="D333" s="1" t="n">
        <x:v>2217</x:v>
      </x:c>
      <x:c r="E333" s="1" t="n">
        <x:v>2146</x:v>
      </x:c>
      <x:c r="F333" s="1" t="n">
        <x:v>71</x:v>
      </x:c>
      <x:c r="G333" s="1" t="n">
        <x:v>1695</x:v>
      </x:c>
      <x:c r="H333" s="1" t="n">
        <x:v>451</x:v>
      </x:c>
      <x:c r="I333" s="1"/>
    </x:row>
    <x:row r="334" ht="23" customHeight="1">
      <x:c r="A334" s="1" t="n">
        <x:v>2025</x:v>
      </x:c>
      <x:c r="B334" s="1" t="str">
        <x:v>Perth-Karratha</x:v>
      </x:c>
      <x:c r="C334" s="1" t="n">
        <x:v>12</x:v>
      </x:c>
      <x:c r="D334" s="1" t="n">
        <x:v>2953</x:v>
      </x:c>
      <x:c r="E334" s="1" t="n">
        <x:v>2917</x:v>
      </x:c>
      <x:c r="F334" s="1" t="n">
        <x:v>36</x:v>
      </x:c>
      <x:c r="G334" s="1" t="n">
        <x:v>2361</x:v>
      </x:c>
      <x:c r="H334" s="1" t="n">
        <x:v>556</x:v>
      </x:c>
      <x:c r="I334" s="1"/>
    </x:row>
    <x:row r="335" ht="23" customHeight="1">
      <x:c r="A335" s="1" t="n">
        <x:v>2025</x:v>
      </x:c>
      <x:c r="B335" s="1" t="str">
        <x:v>Perth-Melbourne</x:v>
      </x:c>
      <x:c r="C335" s="1" t="n">
        <x:v>12</x:v>
      </x:c>
      <x:c r="D335" s="1" t="n">
        <x:v>6311</x:v>
      </x:c>
      <x:c r="E335" s="1" t="n">
        <x:v>6231</x:v>
      </x:c>
      <x:c r="F335" s="1" t="n">
        <x:v>80</x:v>
      </x:c>
      <x:c r="G335" s="1" t="n">
        <x:v>4847</x:v>
      </x:c>
      <x:c r="H335" s="1" t="n">
        <x:v>1384</x:v>
      </x:c>
      <x:c r="I335" s="1"/>
    </x:row>
    <x:row r="336" ht="23" customHeight="1">
      <x:c r="A336" s="1" t="n">
        <x:v>2025</x:v>
      </x:c>
      <x:c r="B336" s="1" t="str">
        <x:v>Perth-Newman</x:v>
      </x:c>
      <x:c r="C336" s="1" t="n">
        <x:v>12</x:v>
      </x:c>
      <x:c r="D336" s="1" t="n">
        <x:v>2143</x:v>
      </x:c>
      <x:c r="E336" s="1" t="n">
        <x:v>2135</x:v>
      </x:c>
      <x:c r="F336" s="1" t="n">
        <x:v>8</x:v>
      </x:c>
      <x:c r="G336" s="1" t="n">
        <x:v>1811</x:v>
      </x:c>
      <x:c r="H336" s="1" t="n">
        <x:v>324</x:v>
      </x:c>
      <x:c r="I336" s="1"/>
    </x:row>
    <x:row r="337" ht="23" customHeight="1">
      <x:c r="A337" s="1" t="n">
        <x:v>2025</x:v>
      </x:c>
      <x:c r="B337" s="1" t="str">
        <x:v>Perth-Port Hedland</x:v>
      </x:c>
      <x:c r="C337" s="1" t="n">
        <x:v>12</x:v>
      </x:c>
      <x:c r="D337" s="1" t="n">
        <x:v>2437</x:v>
      </x:c>
      <x:c r="E337" s="1" t="n">
        <x:v>2389</x:v>
      </x:c>
      <x:c r="F337" s="1" t="n">
        <x:v>48</x:v>
      </x:c>
      <x:c r="G337" s="1" t="n">
        <x:v>1992</x:v>
      </x:c>
      <x:c r="H337" s="1" t="n">
        <x:v>397</x:v>
      </x:c>
      <x:c r="I337" s="1"/>
    </x:row>
    <x:row r="338" ht="23" customHeight="1">
      <x:c r="A338" s="1" t="n">
        <x:v>2025</x:v>
      </x:c>
      <x:c r="B338" s="1" t="str">
        <x:v>Perth-Sydney</x:v>
      </x:c>
      <x:c r="C338" s="1" t="n">
        <x:v>12</x:v>
      </x:c>
      <x:c r="D338" s="1" t="n">
        <x:v>5177</x:v>
      </x:c>
      <x:c r="E338" s="1" t="n">
        <x:v>5091</x:v>
      </x:c>
      <x:c r="F338" s="1" t="n">
        <x:v>86</x:v>
      </x:c>
      <x:c r="G338" s="1" t="n">
        <x:v>3910</x:v>
      </x:c>
      <x:c r="H338" s="1" t="n">
        <x:v>1181</x:v>
      </x:c>
      <x:c r="I338" s="1"/>
    </x:row>
    <x:row r="339" ht="23" customHeight="1">
      <x:c r="A339" s="1" t="n">
        <x:v>2025</x:v>
      </x:c>
      <x:c r="B339" s="1" t="str">
        <x:v>Port Hedland-Perth</x:v>
      </x:c>
      <x:c r="C339" s="1" t="n">
        <x:v>12</x:v>
      </x:c>
      <x:c r="D339" s="1" t="n">
        <x:v>2432</x:v>
      </x:c>
      <x:c r="E339" s="1" t="n">
        <x:v>2359</x:v>
      </x:c>
      <x:c r="F339" s="1" t="n">
        <x:v>73</x:v>
      </x:c>
      <x:c r="G339" s="1" t="n">
        <x:v>1690</x:v>
      </x:c>
      <x:c r="H339" s="1" t="n">
        <x:v>669</x:v>
      </x:c>
      <x:c r="I339" s="1"/>
    </x:row>
    <x:row r="340" ht="23" customHeight="1">
      <x:c r="A340" s="1" t="n">
        <x:v>2025</x:v>
      </x:c>
      <x:c r="B340" s="1" t="str">
        <x:v>Port Lincoln-Adelaide</x:v>
      </x:c>
      <x:c r="C340" s="1" t="n">
        <x:v>12</x:v>
      </x:c>
      <x:c r="D340" s="1" t="n">
        <x:v>2979</x:v>
      </x:c>
      <x:c r="E340" s="1" t="n">
        <x:v>2847</x:v>
      </x:c>
      <x:c r="F340" s="1" t="n">
        <x:v>132</x:v>
      </x:c>
      <x:c r="G340" s="1" t="n">
        <x:v>2337</x:v>
      </x:c>
      <x:c r="H340" s="1" t="n">
        <x:v>510</x:v>
      </x:c>
      <x:c r="I340" s="1"/>
    </x:row>
    <x:row r="341" ht="23" customHeight="1">
      <x:c r="A341" s="1" t="n">
        <x:v>2025</x:v>
      </x:c>
      <x:c r="B341" s="1" t="str">
        <x:v>Port Macquarie-Sydney</x:v>
      </x:c>
      <x:c r="C341" s="1" t="n">
        <x:v>12</x:v>
      </x:c>
      <x:c r="D341" s="1" t="n">
        <x:v>2030</x:v>
      </x:c>
      <x:c r="E341" s="1" t="n">
        <x:v>1942</x:v>
      </x:c>
      <x:c r="F341" s="1" t="n">
        <x:v>88</x:v>
      </x:c>
      <x:c r="G341" s="1" t="n">
        <x:v>1417</x:v>
      </x:c>
      <x:c r="H341" s="1" t="n">
        <x:v>525</x:v>
      </x:c>
      <x:c r="I341" s="1"/>
    </x:row>
    <x:row r="342" ht="23" customHeight="1">
      <x:c r="A342" s="1" t="n">
        <x:v>2025</x:v>
      </x:c>
      <x:c r="B342" s="1" t="str">
        <x:v>Proserpine-Brisbane</x:v>
      </x:c>
      <x:c r="C342" s="1" t="n">
        <x:v>12</x:v>
      </x:c>
      <x:c r="D342" s="1" t="n">
        <x:v>998</x:v>
      </x:c>
      <x:c r="E342" s="1" t="n">
        <x:v>977</x:v>
      </x:c>
      <x:c r="F342" s="1" t="n">
        <x:v>21</x:v>
      </x:c>
      <x:c r="G342" s="1" t="n">
        <x:v>650</x:v>
      </x:c>
      <x:c r="H342" s="1" t="n">
        <x:v>327</x:v>
      </x:c>
      <x:c r="I342" s="1"/>
    </x:row>
    <x:row r="343" ht="23" customHeight="1">
      <x:c r="A343" s="1" t="n">
        <x:v>2025</x:v>
      </x:c>
      <x:c r="B343" s="1" t="str">
        <x:v>Rockhampton-Brisbane</x:v>
      </x:c>
      <x:c r="C343" s="1" t="n">
        <x:v>12</x:v>
      </x:c>
      <x:c r="D343" s="1" t="n">
        <x:v>3880</x:v>
      </x:c>
      <x:c r="E343" s="1" t="n">
        <x:v>3778</x:v>
      </x:c>
      <x:c r="F343" s="1" t="n">
        <x:v>102</x:v>
      </x:c>
      <x:c r="G343" s="1" t="n">
        <x:v>2762</x:v>
      </x:c>
      <x:c r="H343" s="1" t="n">
        <x:v>1016</x:v>
      </x:c>
      <x:c r="I343" s="1"/>
    </x:row>
    <x:row r="344" ht="23" customHeight="1">
      <x:c r="A344" s="1" t="n">
        <x:v>2025</x:v>
      </x:c>
      <x:c r="B344" s="1" t="str">
        <x:v>Sunshine Coast-Melbourne</x:v>
      </x:c>
      <x:c r="C344" s="1" t="n">
        <x:v>12</x:v>
      </x:c>
      <x:c r="D344" s="1" t="n">
        <x:v>2310</x:v>
      </x:c>
      <x:c r="E344" s="1" t="n">
        <x:v>2294</x:v>
      </x:c>
      <x:c r="F344" s="1" t="n">
        <x:v>16</x:v>
      </x:c>
      <x:c r="G344" s="1" t="n">
        <x:v>1583</x:v>
      </x:c>
      <x:c r="H344" s="1" t="n">
        <x:v>711</x:v>
      </x:c>
      <x:c r="I344" s="1"/>
    </x:row>
    <x:row r="345" ht="23" customHeight="1">
      <x:c r="A345" s="1" t="n">
        <x:v>2025</x:v>
      </x:c>
      <x:c r="B345" s="1" t="str">
        <x:v>Sunshine Coast-Sydney</x:v>
      </x:c>
      <x:c r="C345" s="1" t="n">
        <x:v>12</x:v>
      </x:c>
      <x:c r="D345" s="1" t="n">
        <x:v>2640</x:v>
      </x:c>
      <x:c r="E345" s="1" t="n">
        <x:v>2597</x:v>
      </x:c>
      <x:c r="F345" s="1" t="n">
        <x:v>43</x:v>
      </x:c>
      <x:c r="G345" s="1" t="n">
        <x:v>1771</x:v>
      </x:c>
      <x:c r="H345" s="1" t="n">
        <x:v>826</x:v>
      </x:c>
      <x:c r="I345" s="1"/>
    </x:row>
    <x:row r="346" ht="23" customHeight="1">
      <x:c r="A346" s="1" t="n">
        <x:v>2025</x:v>
      </x:c>
      <x:c r="B346" s="1" t="str">
        <x:v>Sydney-Adelaide</x:v>
      </x:c>
      <x:c r="C346" s="1" t="n">
        <x:v>12</x:v>
      </x:c>
      <x:c r="D346" s="1" t="n">
        <x:v>6631</x:v>
      </x:c>
      <x:c r="E346" s="1" t="n">
        <x:v>6479</x:v>
      </x:c>
      <x:c r="F346" s="1" t="n">
        <x:v>152</x:v>
      </x:c>
      <x:c r="G346" s="1" t="n">
        <x:v>4917</x:v>
      </x:c>
      <x:c r="H346" s="1" t="n">
        <x:v>1562</x:v>
      </x:c>
      <x:c r="I346" s="1"/>
    </x:row>
    <x:row r="347" ht="23" customHeight="1">
      <x:c r="A347" s="1" t="n">
        <x:v>2025</x:v>
      </x:c>
      <x:c r="B347" s="1" t="str">
        <x:v>Sydney-Albury</x:v>
      </x:c>
      <x:c r="C347" s="1" t="n">
        <x:v>12</x:v>
      </x:c>
      <x:c r="D347" s="1" t="n">
        <x:v>1918</x:v>
      </x:c>
      <x:c r="E347" s="1" t="n">
        <x:v>1893</x:v>
      </x:c>
      <x:c r="F347" s="1" t="n">
        <x:v>25</x:v>
      </x:c>
      <x:c r="G347" s="1" t="n">
        <x:v>1457</x:v>
      </x:c>
      <x:c r="H347" s="1" t="n">
        <x:v>436</x:v>
      </x:c>
      <x:c r="I347" s="1"/>
    </x:row>
    <x:row r="348" ht="23" customHeight="1">
      <x:c r="A348" s="1" t="n">
        <x:v>2025</x:v>
      </x:c>
      <x:c r="B348" s="1" t="str">
        <x:v>Sydney-Ballina</x:v>
      </x:c>
      <x:c r="C348" s="1" t="n">
        <x:v>12</x:v>
      </x:c>
      <x:c r="D348" s="1" t="n">
        <x:v>1789</x:v>
      </x:c>
      <x:c r="E348" s="1" t="n">
        <x:v>1742</x:v>
      </x:c>
      <x:c r="F348" s="1" t="n">
        <x:v>47</x:v>
      </x:c>
      <x:c r="G348" s="1" t="n">
        <x:v>1409</x:v>
      </x:c>
      <x:c r="H348" s="1" t="n">
        <x:v>333</x:v>
      </x:c>
      <x:c r="I348" s="1"/>
    </x:row>
    <x:row r="349" ht="23" customHeight="1">
      <x:c r="A349" s="1" t="n">
        <x:v>2025</x:v>
      </x:c>
      <x:c r="B349" s="1" t="str">
        <x:v>Sydney-Brisbane</x:v>
      </x:c>
      <x:c r="C349" s="1" t="n">
        <x:v>12</x:v>
      </x:c>
      <x:c r="D349" s="1" t="n">
        <x:v>14524</x:v>
      </x:c>
      <x:c r="E349" s="1" t="n">
        <x:v>14046</x:v>
      </x:c>
      <x:c r="F349" s="1" t="n">
        <x:v>478</x:v>
      </x:c>
      <x:c r="G349" s="1" t="n">
        <x:v>10574</x:v>
      </x:c>
      <x:c r="H349" s="1" t="n">
        <x:v>3472</x:v>
      </x:c>
      <x:c r="I349" s="1"/>
    </x:row>
    <x:row r="350" ht="23" customHeight="1">
      <x:c r="A350" s="1" t="n">
        <x:v>2025</x:v>
      </x:c>
      <x:c r="B350" s="1" t="str">
        <x:v>Sydney-Cairns</x:v>
      </x:c>
      <x:c r="C350" s="1" t="n">
        <x:v>12</x:v>
      </x:c>
      <x:c r="D350" s="1" t="n">
        <x:v>2713</x:v>
      </x:c>
      <x:c r="E350" s="1" t="n">
        <x:v>2705</x:v>
      </x:c>
      <x:c r="F350" s="1" t="n">
        <x:v>8</x:v>
      </x:c>
      <x:c r="G350" s="1" t="n">
        <x:v>2175</x:v>
      </x:c>
      <x:c r="H350" s="1" t="n">
        <x:v>530</x:v>
      </x:c>
      <x:c r="I350" s="1"/>
    </x:row>
    <x:row r="351" ht="23" customHeight="1">
      <x:c r="A351" s="1" t="n">
        <x:v>2025</x:v>
      </x:c>
      <x:c r="B351" s="1" t="str">
        <x:v>Sydney-Canberra</x:v>
      </x:c>
      <x:c r="C351" s="1" t="n">
        <x:v>12</x:v>
      </x:c>
      <x:c r="D351" s="1" t="n">
        <x:v>7660</x:v>
      </x:c>
      <x:c r="E351" s="1" t="n">
        <x:v>7232</x:v>
      </x:c>
      <x:c r="F351" s="1" t="n">
        <x:v>428</x:v>
      </x:c>
      <x:c r="G351" s="1" t="n">
        <x:v>5730</x:v>
      </x:c>
      <x:c r="H351" s="1" t="n">
        <x:v>1502</x:v>
      </x:c>
      <x:c r="I351" s="1"/>
    </x:row>
    <x:row r="352" ht="23" customHeight="1">
      <x:c r="A352" s="1" t="n">
        <x:v>2025</x:v>
      </x:c>
      <x:c r="B352" s="1" t="str">
        <x:v>Sydney-Coffs Harbour</x:v>
      </x:c>
      <x:c r="C352" s="1" t="n">
        <x:v>12</x:v>
      </x:c>
      <x:c r="D352" s="1" t="n">
        <x:v>2150</x:v>
      </x:c>
      <x:c r="E352" s="1" t="n">
        <x:v>2083</x:v>
      </x:c>
      <x:c r="F352" s="1" t="n">
        <x:v>67</x:v>
      </x:c>
      <x:c r="G352" s="1" t="n">
        <x:v>1534</x:v>
      </x:c>
      <x:c r="H352" s="1" t="n">
        <x:v>549</x:v>
      </x:c>
      <x:c r="I352" s="1"/>
    </x:row>
    <x:row r="353" ht="23" customHeight="1">
      <x:c r="A353" s="1" t="n">
        <x:v>2025</x:v>
      </x:c>
      <x:c r="B353" s="1" t="str">
        <x:v>Sydney-Dubbo</x:v>
      </x:c>
      <x:c r="C353" s="1" t="n">
        <x:v>12</x:v>
      </x:c>
      <x:c r="D353" s="1" t="n">
        <x:v>2519</x:v>
      </x:c>
      <x:c r="E353" s="1" t="n">
        <x:v>2435</x:v>
      </x:c>
      <x:c r="F353" s="1" t="n">
        <x:v>84</x:v>
      </x:c>
      <x:c r="G353" s="1" t="n">
        <x:v>1803</x:v>
      </x:c>
      <x:c r="H353" s="1" t="n">
        <x:v>632</x:v>
      </x:c>
      <x:c r="I353" s="1"/>
    </x:row>
    <x:row r="354" ht="23" customHeight="1">
      <x:c r="A354" s="1" t="n">
        <x:v>2025</x:v>
      </x:c>
      <x:c r="B354" s="1" t="str">
        <x:v>Sydney-Gold Coast</x:v>
      </x:c>
      <x:c r="C354" s="1" t="n">
        <x:v>12</x:v>
      </x:c>
      <x:c r="D354" s="1" t="n">
        <x:v>8144</x:v>
      </x:c>
      <x:c r="E354" s="1" t="n">
        <x:v>7987</x:v>
      </x:c>
      <x:c r="F354" s="1" t="n">
        <x:v>157</x:v>
      </x:c>
      <x:c r="G354" s="1" t="n">
        <x:v>6303</x:v>
      </x:c>
      <x:c r="H354" s="1" t="n">
        <x:v>1684</x:v>
      </x:c>
      <x:c r="I354" s="1"/>
    </x:row>
    <x:row r="355" ht="23" customHeight="1">
      <x:c r="A355" s="1" t="n">
        <x:v>2025</x:v>
      </x:c>
      <x:c r="B355" s="1" t="str">
        <x:v>Sydney-Hamilton Island</x:v>
      </x:c>
      <x:c r="C355" s="1" t="n">
        <x:v>12</x:v>
      </x:c>
      <x:c r="D355" s="1" t="n">
        <x:v>868</x:v>
      </x:c>
      <x:c r="E355" s="1" t="n">
        <x:v>867</x:v>
      </x:c>
      <x:c r="F355" s="1" t="n">
        <x:v>1</x:v>
      </x:c>
      <x:c r="G355" s="1" t="n">
        <x:v>680</x:v>
      </x:c>
      <x:c r="H355" s="1" t="n">
        <x:v>187</x:v>
      </x:c>
      <x:c r="I355" s="1"/>
    </x:row>
    <x:row r="356" ht="23" customHeight="1">
      <x:c r="A356" s="1" t="n">
        <x:v>2025</x:v>
      </x:c>
      <x:c r="B356" s="1" t="str">
        <x:v>Sydney-Hobart</x:v>
      </x:c>
      <x:c r="C356" s="1" t="n">
        <x:v>12</x:v>
      </x:c>
      <x:c r="D356" s="1" t="n">
        <x:v>2872</x:v>
      </x:c>
      <x:c r="E356" s="1" t="n">
        <x:v>2815</x:v>
      </x:c>
      <x:c r="F356" s="1" t="n">
        <x:v>57</x:v>
      </x:c>
      <x:c r="G356" s="1" t="n">
        <x:v>2161</x:v>
      </x:c>
      <x:c r="H356" s="1" t="n">
        <x:v>654</x:v>
      </x:c>
      <x:c r="I356" s="1"/>
    </x:row>
    <x:row r="357" ht="23" customHeight="1">
      <x:c r="A357" s="1" t="n">
        <x:v>2025</x:v>
      </x:c>
      <x:c r="B357" s="1" t="str">
        <x:v>Sydney-Launceston</x:v>
      </x:c>
      <x:c r="C357" s="1" t="n">
        <x:v>12</x:v>
      </x:c>
      <x:c r="D357" s="1" t="n">
        <x:v>1249</x:v>
      </x:c>
      <x:c r="E357" s="1" t="n">
        <x:v>1240</x:v>
      </x:c>
      <x:c r="F357" s="1" t="n">
        <x:v>9</x:v>
      </x:c>
      <x:c r="G357" s="1" t="n">
        <x:v>958</x:v>
      </x:c>
      <x:c r="H357" s="1" t="n">
        <x:v>282</x:v>
      </x:c>
      <x:c r="I357" s="1"/>
    </x:row>
    <x:row r="358" ht="23" customHeight="1">
      <x:c r="A358" s="1" t="n">
        <x:v>2025</x:v>
      </x:c>
      <x:c r="B358" s="1" t="str">
        <x:v>Sydney-Melbourne</x:v>
      </x:c>
      <x:c r="C358" s="1" t="n">
        <x:v>12</x:v>
      </x:c>
      <x:c r="D358" s="1" t="n">
        <x:v>25294</x:v>
      </x:c>
      <x:c r="E358" s="1" t="n">
        <x:v>24191</x:v>
      </x:c>
      <x:c r="F358" s="1" t="n">
        <x:v>1103</x:v>
      </x:c>
      <x:c r="G358" s="1" t="n">
        <x:v>18501</x:v>
      </x:c>
      <x:c r="H358" s="1" t="n">
        <x:v>5690</x:v>
      </x:c>
      <x:c r="I358" s="1"/>
    </x:row>
    <x:row r="359" ht="23" customHeight="1">
      <x:c r="A359" s="1" t="n">
        <x:v>2025</x:v>
      </x:c>
      <x:c r="B359" s="1" t="str">
        <x:v>Sydney-Perth</x:v>
      </x:c>
      <x:c r="C359" s="1" t="n">
        <x:v>12</x:v>
      </x:c>
      <x:c r="D359" s="1" t="n">
        <x:v>5331</x:v>
      </x:c>
      <x:c r="E359" s="1" t="n">
        <x:v>5278</x:v>
      </x:c>
      <x:c r="F359" s="1" t="n">
        <x:v>53</x:v>
      </x:c>
      <x:c r="G359" s="1" t="n">
        <x:v>3599</x:v>
      </x:c>
      <x:c r="H359" s="1" t="n">
        <x:v>1679</x:v>
      </x:c>
      <x:c r="I359" s="1"/>
    </x:row>
    <x:row r="360" ht="23" customHeight="1">
      <x:c r="A360" s="1" t="n">
        <x:v>2025</x:v>
      </x:c>
      <x:c r="B360" s="1" t="str">
        <x:v>Sydney-Port Macquarie</x:v>
      </x:c>
      <x:c r="C360" s="1" t="n">
        <x:v>12</x:v>
      </x:c>
      <x:c r="D360" s="1" t="n">
        <x:v>2036</x:v>
      </x:c>
      <x:c r="E360" s="1" t="n">
        <x:v>1955</x:v>
      </x:c>
      <x:c r="F360" s="1" t="n">
        <x:v>81</x:v>
      </x:c>
      <x:c r="G360" s="1" t="n">
        <x:v>1368</x:v>
      </x:c>
      <x:c r="H360" s="1" t="n">
        <x:v>587</x:v>
      </x:c>
      <x:c r="I360" s="1"/>
    </x:row>
    <x:row r="361" ht="23" customHeight="1">
      <x:c r="A361" s="1" t="n">
        <x:v>2025</x:v>
      </x:c>
      <x:c r="B361" s="1" t="str">
        <x:v>Sydney-Sunshine Coast</x:v>
      </x:c>
      <x:c r="C361" s="1" t="n">
        <x:v>12</x:v>
      </x:c>
      <x:c r="D361" s="1" t="n">
        <x:v>2634</x:v>
      </x:c>
      <x:c r="E361" s="1" t="n">
        <x:v>2605</x:v>
      </x:c>
      <x:c r="F361" s="1" t="n">
        <x:v>29</x:v>
      </x:c>
      <x:c r="G361" s="1" t="n">
        <x:v>1950</x:v>
      </x:c>
      <x:c r="H361" s="1" t="n">
        <x:v>655</x:v>
      </x:c>
      <x:c r="I361" s="1"/>
    </x:row>
    <x:row r="362" ht="23" customHeight="1">
      <x:c r="A362" s="1" t="n">
        <x:v>2025</x:v>
      </x:c>
      <x:c r="B362" s="1" t="str">
        <x:v>Sydney-Wagga Wagga</x:v>
      </x:c>
      <x:c r="C362" s="1" t="n">
        <x:v>12</x:v>
      </x:c>
      <x:c r="D362" s="1" t="n">
        <x:v>2183</x:v>
      </x:c>
      <x:c r="E362" s="1" t="n">
        <x:v>2145</x:v>
      </x:c>
      <x:c r="F362" s="1" t="n">
        <x:v>38</x:v>
      </x:c>
      <x:c r="G362" s="1" t="n">
        <x:v>1696</x:v>
      </x:c>
      <x:c r="H362" s="1" t="n">
        <x:v>449</x:v>
      </x:c>
      <x:c r="I362" s="1"/>
    </x:row>
    <x:row r="363" ht="23" customHeight="1">
      <x:c r="A363" s="1" t="n">
        <x:v>2025</x:v>
      </x:c>
      <x:c r="B363" s="1" t="str">
        <x:v>Townsville-Brisbane</x:v>
      </x:c>
      <x:c r="C363" s="1" t="n">
        <x:v>12</x:v>
      </x:c>
      <x:c r="D363" s="1" t="n">
        <x:v>4474</x:v>
      </x:c>
      <x:c r="E363" s="1" t="n">
        <x:v>4373</x:v>
      </x:c>
      <x:c r="F363" s="1" t="n">
        <x:v>101</x:v>
      </x:c>
      <x:c r="G363" s="1" t="n">
        <x:v>3251</x:v>
      </x:c>
      <x:c r="H363" s="1" t="n">
        <x:v>1122</x:v>
      </x:c>
      <x:c r="I363" s="1"/>
    </x:row>
    <x:row r="364" ht="23" customHeight="1">
      <x:c r="A364" s="1" t="n">
        <x:v>2025</x:v>
      </x:c>
      <x:c r="B364" s="1" t="str">
        <x:v>Townsville-Cairns</x:v>
      </x:c>
      <x:c r="C364" s="1" t="n">
        <x:v>1</x:v>
      </x:c>
      <x:c r="D364" s="1" t="n">
        <x:v>134</x:v>
      </x:c>
      <x:c r="E364" s="1" t="n">
        <x:v>132</x:v>
      </x:c>
      <x:c r="F364" s="1" t="n">
        <x:v>2</x:v>
      </x:c>
      <x:c r="G364" s="1" t="n">
        <x:v>120</x:v>
      </x:c>
      <x:c r="H364" s="1" t="n">
        <x:v>12</x:v>
      </x:c>
      <x:c r="I364" s="1"/>
    </x:row>
    <x:row r="365" ht="23" customHeight="1">
      <x:c r="A365" s="1" t="n">
        <x:v>2025</x:v>
      </x:c>
      <x:c r="B365" s="1" t="str">
        <x:v>Wagga Wagga-Sydney</x:v>
      </x:c>
      <x:c r="C365" s="1" t="n">
        <x:v>12</x:v>
      </x:c>
      <x:c r="D365" s="1" t="n">
        <x:v>2186</x:v>
      </x:c>
      <x:c r="E365" s="1" t="n">
        <x:v>2136</x:v>
      </x:c>
      <x:c r="F365" s="1" t="n">
        <x:v>50</x:v>
      </x:c>
      <x:c r="G365" s="1" t="n">
        <x:v>1652</x:v>
      </x:c>
      <x:c r="H365" s="1" t="n">
        <x:v>484</x:v>
      </x:c>
      <x:c r="I365" s="1"/>
    </x:row>
    <x:row r="366" ht="23" customHeight="1">
      <x:c r="A366" s="1"/>
      <x:c r="B366" s="1"/>
      <x:c r="C366" s="1"/>
      <x:c r="D366" s="1"/>
      <x:c r="E366" s="1"/>
      <x:c r="F366" s="1"/>
      <x:c r="G366" s="1"/>
      <x:c r="H366" s="1"/>
      <x:c r="I366" s="1"/>
    </x:row>
    <x:row r="367" ht="23" customHeight="1">
      <x:c r="A367" s="1"/>
      <x:c r="B367" s="1"/>
      <x:c r="C367" s="1"/>
      <x:c r="D367" s="1"/>
      <x:c r="E367" s="1"/>
      <x:c r="F367" s="1"/>
      <x:c r="G367" s="1"/>
      <x:c r="H367" s="1"/>
      <x:c r="I367" s="1"/>
    </x:row>
    <x:row r="368" ht="23" customHeight="1">
      <x:c r="A368" s="1" t="str">
        <x:v>SQL v_route_priority. Full source records, SQL and audit are provided in the accompanying GitHub repository.</x:v>
      </x:c>
      <x:c r="B368" s="1"/>
      <x:c r="C368" s="1"/>
      <x:c r="D368" s="1"/>
      <x:c r="E368" s="1"/>
      <x:c r="F368" s="1"/>
      <x:c r="G368" s="1"/>
      <x:c r="H368" s="1"/>
      <x:c r="I368" s="1"/>
    </x:row>
  </x:sheetData>
  <x:mergeCells>
    <x:mergeCell ref="A368:H368"/>
  </x:mergeCells>
  <x:pageMargins left="0.7" right="0.7" top="0.75" bottom="0.75" header="0.3" footer="0.3"/>
  <x:tableParts count="1">
    <x:tablePart xmlns:r="http://schemas.openxmlformats.org/officeDocument/2006/relationships" r:id="R45a69ef732e44b05"/>
  </x:tableParts>
</x:worksheet>
</file>